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Dashboard" sheetId="2" state="visible" r:id="rId4"/>
    <sheet name="Assumptions" sheetId="3" state="visible" r:id="rId5"/>
    <sheet name="Customers" sheetId="4" state="visible" r:id="rId6"/>
    <sheet name="Invoices" sheetId="5" state="visible" r:id="rId7"/>
    <sheet name="AR_Aging" sheetId="6" state="visible" r:id="rId8"/>
    <sheet name="Collections_KPI" sheetId="7" state="visible" r:id="rId9"/>
    <sheet name="Cash_Forecast" sheetId="8" state="visible" r:id="rId10"/>
  </sheets>
  <definedNames>
    <definedName function="false" hidden="true" localSheetId="4" name="_xlnm._FilterDatabase" vbProcedure="false">Invoices!$A$1:$M$91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Arial"/>
            <family val="2"/>
          </rPr>
          <t xml:space="preserve">Opening AR assumed nil: register starts 1-Jul-2025 (fictional).</t>
        </r>
      </text>
    </comment>
  </commentList>
</comments>
</file>

<file path=xl/sharedStrings.xml><?xml version="1.0" encoding="utf-8"?>
<sst xmlns="http://schemas.openxmlformats.org/spreadsheetml/2006/main" count="331" uniqueCount="223">
  <si>
    <t xml:space="preserve">Project 02 — Accounts Receivable &amp; Cash Flow Dashboard</t>
  </si>
  <si>
    <t xml:space="preserve">Portfolio project using FICTIONAL data for a fictional company (Northwind Field Services LLC). Not real employment results.</t>
  </si>
  <si>
    <t xml:space="preserve">Purpose</t>
  </si>
  <si>
    <t xml:space="preserve">Analyse receivables, ageing, collection performance (DSO, CEI) and forecast cash inflows for the next 3 months.</t>
  </si>
  <si>
    <t xml:space="preserve">How the workbook works</t>
  </si>
  <si>
    <t xml:space="preserve">1. Assumptions — report date, ageing buckets, collection probabilities (yellow cells are editable inputs).</t>
  </si>
  <si>
    <t xml:space="preserve">2. Customers — customer master with payment terms and credit limits (blue = inputs).</t>
  </si>
  <si>
    <t xml:space="preserve">3. Invoices — invoice register; due date, outstanding, days past due and ageing bucket are formulas.</t>
  </si>
  <si>
    <t xml:space="preserve">4. AR_Aging — ageing by customer with credit-limit check (SUMIFS formulas).</t>
  </si>
  <si>
    <t xml:space="preserve">5. Collections_KPI — monthly billing vs collections, DSO and Collection Effectiveness Index.</t>
  </si>
  <si>
    <t xml:space="preserve">6. Cash_Forecast — expected collections by month weighted by bucket-level collection probability.</t>
  </si>
  <si>
    <t xml:space="preserve">7. Dashboard — headline KPIs and charts.</t>
  </si>
  <si>
    <t xml:space="preserve">Colour legend</t>
  </si>
  <si>
    <t xml:space="preserve">Blue text = hardcoded input · Black = formula · Green = link from another sheet · Yellow fill = key assumption</t>
  </si>
  <si>
    <t xml:space="preserve">Tools: Microsoft Excel (SUMIFS, INDEX/MATCH, IF logic, charts). Author: Muhammed Shabeeb MK</t>
  </si>
  <si>
    <t xml:space="preserve">AR &amp; Cash Flow Dashboard — Northwind Field Services LLC (fictional)</t>
  </si>
  <si>
    <t xml:space="preserve">As of</t>
  </si>
  <si>
    <t xml:space="preserve">Total AR ($)</t>
  </si>
  <si>
    <t xml:space="preserve">Overdue AR ($)</t>
  </si>
  <si>
    <t xml:space="preserve">% AR overdue</t>
  </si>
  <si>
    <t xml:space="preserve">DSO (days)</t>
  </si>
  <si>
    <t xml:space="preserve">AR over 90 days ($)</t>
  </si>
  <si>
    <t xml:space="preserve">6-month CEI</t>
  </si>
  <si>
    <t xml:space="preserve">Expected collections next 3 months ($)</t>
  </si>
  <si>
    <t xml:space="preserve">At-risk balance ($)</t>
  </si>
  <si>
    <t xml:space="preserve">Assumption</t>
  </si>
  <si>
    <t xml:space="preserve">Value</t>
  </si>
  <si>
    <t xml:space="preserve">Note</t>
  </si>
  <si>
    <t xml:space="preserve">Report (as-of) date</t>
  </si>
  <si>
    <t xml:space="preserve">Ageing and DSO measured at this date</t>
  </si>
  <si>
    <t xml:space="preserve">DSO lookback period (days)</t>
  </si>
  <si>
    <t xml:space="preserve">Days used in DSO = AR / credit sales × days</t>
  </si>
  <si>
    <t xml:space="preserve">Collection probability – Not yet due</t>
  </si>
  <si>
    <t xml:space="preserve">Share of open balance expected to be collected</t>
  </si>
  <si>
    <t xml:space="preserve">Collection probability – 1-30 days</t>
  </si>
  <si>
    <t xml:space="preserve">Collection probability – 31-60 days</t>
  </si>
  <si>
    <t xml:space="preserve">Collection probability – 61-90 days</t>
  </si>
  <si>
    <t xml:space="preserve">Collection probability – 90+ days</t>
  </si>
  <si>
    <t xml:space="preserve">Remainder treated as at-risk / provision candidate</t>
  </si>
  <si>
    <t xml:space="preserve">Delay after due date – overdue items (days)</t>
  </si>
  <si>
    <t xml:space="preserve">Overdue balances assumed collected this many days after report date</t>
  </si>
  <si>
    <t xml:space="preserve">Currency</t>
  </si>
  <si>
    <t xml:space="preserve">USD</t>
  </si>
  <si>
    <t xml:space="preserve">All amounts in US dollars (fictional)</t>
  </si>
  <si>
    <t xml:space="preserve">Ageing bucket labels</t>
  </si>
  <si>
    <t xml:space="preserve">Not due</t>
  </si>
  <si>
    <t xml:space="preserve">1-30</t>
  </si>
  <si>
    <t xml:space="preserve">31-60</t>
  </si>
  <si>
    <t xml:space="preserve">61-90</t>
  </si>
  <si>
    <t xml:space="preserve">90+</t>
  </si>
  <si>
    <t xml:space="preserve">Customer ID</t>
  </si>
  <si>
    <t xml:space="preserve">Customer Name</t>
  </si>
  <si>
    <t xml:space="preserve">Segment</t>
  </si>
  <si>
    <t xml:space="preserve">Terms (days)</t>
  </si>
  <si>
    <t xml:space="preserve">Credit Limit ($)</t>
  </si>
  <si>
    <t xml:space="preserve">C001</t>
  </si>
  <si>
    <t xml:space="preserve">Al Noor Construction</t>
  </si>
  <si>
    <t xml:space="preserve">Construction</t>
  </si>
  <si>
    <t xml:space="preserve">C002</t>
  </si>
  <si>
    <t xml:space="preserve">Gulf Infra Projects</t>
  </si>
  <si>
    <t xml:space="preserve">Infrastructure</t>
  </si>
  <si>
    <t xml:space="preserve">C003</t>
  </si>
  <si>
    <t xml:space="preserve">Metro Utilities Co</t>
  </si>
  <si>
    <t xml:space="preserve">Utilities</t>
  </si>
  <si>
    <t xml:space="preserve">C004</t>
  </si>
  <si>
    <t xml:space="preserve">Desert Logistics</t>
  </si>
  <si>
    <t xml:space="preserve">Logistics</t>
  </si>
  <si>
    <t xml:space="preserve">C005</t>
  </si>
  <si>
    <t xml:space="preserve">BlueWave Telecom</t>
  </si>
  <si>
    <t xml:space="preserve">Telecom</t>
  </si>
  <si>
    <t xml:space="preserve">C006</t>
  </si>
  <si>
    <t xml:space="preserve">Harbor Developers</t>
  </si>
  <si>
    <t xml:space="preserve">Real Estate</t>
  </si>
  <si>
    <t xml:space="preserve">C007</t>
  </si>
  <si>
    <t xml:space="preserve">Sunrise Facilities</t>
  </si>
  <si>
    <t xml:space="preserve">Facilities Mgmt</t>
  </si>
  <si>
    <t xml:space="preserve">C008</t>
  </si>
  <si>
    <t xml:space="preserve">Coastal Roads Authority</t>
  </si>
  <si>
    <t xml:space="preserve">Government</t>
  </si>
  <si>
    <t xml:space="preserve">C009</t>
  </si>
  <si>
    <t xml:space="preserve">Prime Events</t>
  </si>
  <si>
    <t xml:space="preserve">Events</t>
  </si>
  <si>
    <t xml:space="preserve">C010</t>
  </si>
  <si>
    <t xml:space="preserve">Oasis Retail Group</t>
  </si>
  <si>
    <t xml:space="preserve">Retail</t>
  </si>
  <si>
    <t xml:space="preserve">Invoice No</t>
  </si>
  <si>
    <t xml:space="preserve">Invoice Date</t>
  </si>
  <si>
    <t xml:space="preserve">Due Date</t>
  </si>
  <si>
    <t xml:space="preserve">Invoice Amount ($)</t>
  </si>
  <si>
    <t xml:space="preserve">Amount Paid ($)</t>
  </si>
  <si>
    <t xml:space="preserve">Payment Date</t>
  </si>
  <si>
    <t xml:space="preserve">Outstanding ($)</t>
  </si>
  <si>
    <t xml:space="preserve">Days Past Due</t>
  </si>
  <si>
    <t xml:space="preserve">Ageing Bucket</t>
  </si>
  <si>
    <t xml:space="preserve">Days to Pay</t>
  </si>
  <si>
    <t xml:space="preserve">INV-20250001</t>
  </si>
  <si>
    <t xml:space="preserve">INV-20250002</t>
  </si>
  <si>
    <t xml:space="preserve">INV-20250003</t>
  </si>
  <si>
    <t xml:space="preserve">INV-20250004</t>
  </si>
  <si>
    <t xml:space="preserve">INV-20250005</t>
  </si>
  <si>
    <t xml:space="preserve">INV-20250006</t>
  </si>
  <si>
    <t xml:space="preserve">INV-20250007</t>
  </si>
  <si>
    <t xml:space="preserve">INV-20250008</t>
  </si>
  <si>
    <t xml:space="preserve">INV-20250009</t>
  </si>
  <si>
    <t xml:space="preserve">INV-20250010</t>
  </si>
  <si>
    <t xml:space="preserve">INV-20250011</t>
  </si>
  <si>
    <t xml:space="preserve">INV-20250012</t>
  </si>
  <si>
    <t xml:space="preserve">INV-20250013</t>
  </si>
  <si>
    <t xml:space="preserve">INV-20250014</t>
  </si>
  <si>
    <t xml:space="preserve">INV-20250015</t>
  </si>
  <si>
    <t xml:space="preserve">INV-20250016</t>
  </si>
  <si>
    <t xml:space="preserve">INV-20250017</t>
  </si>
  <si>
    <t xml:space="preserve">INV-20250018</t>
  </si>
  <si>
    <t xml:space="preserve">INV-20250019</t>
  </si>
  <si>
    <t xml:space="preserve">INV-20250020</t>
  </si>
  <si>
    <t xml:space="preserve">INV-20250021</t>
  </si>
  <si>
    <t xml:space="preserve">INV-20250022</t>
  </si>
  <si>
    <t xml:space="preserve">INV-20250023</t>
  </si>
  <si>
    <t xml:space="preserve">INV-20250024</t>
  </si>
  <si>
    <t xml:space="preserve">INV-20250025</t>
  </si>
  <si>
    <t xml:space="preserve">INV-20250026</t>
  </si>
  <si>
    <t xml:space="preserve">INV-20250027</t>
  </si>
  <si>
    <t xml:space="preserve">INV-20250028</t>
  </si>
  <si>
    <t xml:space="preserve">INV-20250029</t>
  </si>
  <si>
    <t xml:space="preserve">INV-20250030</t>
  </si>
  <si>
    <t xml:space="preserve">INV-20250031</t>
  </si>
  <si>
    <t xml:space="preserve">INV-20250032</t>
  </si>
  <si>
    <t xml:space="preserve">INV-20250033</t>
  </si>
  <si>
    <t xml:space="preserve">INV-20250034</t>
  </si>
  <si>
    <t xml:space="preserve">INV-20250035</t>
  </si>
  <si>
    <t xml:space="preserve">INV-20250036</t>
  </si>
  <si>
    <t xml:space="preserve">INV-20250037</t>
  </si>
  <si>
    <t xml:space="preserve">INV-20250038</t>
  </si>
  <si>
    <t xml:space="preserve">INV-20250039</t>
  </si>
  <si>
    <t xml:space="preserve">INV-20250040</t>
  </si>
  <si>
    <t xml:space="preserve">INV-20250041</t>
  </si>
  <si>
    <t xml:space="preserve">INV-20250042</t>
  </si>
  <si>
    <t xml:space="preserve">INV-20250043</t>
  </si>
  <si>
    <t xml:space="preserve">INV-20250044</t>
  </si>
  <si>
    <t xml:space="preserve">INV-20250045</t>
  </si>
  <si>
    <t xml:space="preserve">INV-20250046</t>
  </si>
  <si>
    <t xml:space="preserve">INV-20250047</t>
  </si>
  <si>
    <t xml:space="preserve">INV-20250048</t>
  </si>
  <si>
    <t xml:space="preserve">INV-20250049</t>
  </si>
  <si>
    <t xml:space="preserve">INV-20250050</t>
  </si>
  <si>
    <t xml:space="preserve">INV-20250051</t>
  </si>
  <si>
    <t xml:space="preserve">INV-20250052</t>
  </si>
  <si>
    <t xml:space="preserve">INV-20250053</t>
  </si>
  <si>
    <t xml:space="preserve">INV-20250054</t>
  </si>
  <si>
    <t xml:space="preserve">INV-20250055</t>
  </si>
  <si>
    <t xml:space="preserve">INV-20250056</t>
  </si>
  <si>
    <t xml:space="preserve">INV-20250057</t>
  </si>
  <si>
    <t xml:space="preserve">INV-20250058</t>
  </si>
  <si>
    <t xml:space="preserve">INV-20250059</t>
  </si>
  <si>
    <t xml:space="preserve">INV-20250060</t>
  </si>
  <si>
    <t xml:space="preserve">INV-20250061</t>
  </si>
  <si>
    <t xml:space="preserve">INV-20250062</t>
  </si>
  <si>
    <t xml:space="preserve">INV-20250063</t>
  </si>
  <si>
    <t xml:space="preserve">INV-20250064</t>
  </si>
  <si>
    <t xml:space="preserve">INV-20250065</t>
  </si>
  <si>
    <t xml:space="preserve">INV-20250066</t>
  </si>
  <si>
    <t xml:space="preserve">INV-20250067</t>
  </si>
  <si>
    <t xml:space="preserve">INV-20250068</t>
  </si>
  <si>
    <t xml:space="preserve">INV-20250069</t>
  </si>
  <si>
    <t xml:space="preserve">INV-20250070</t>
  </si>
  <si>
    <t xml:space="preserve">INV-20250071</t>
  </si>
  <si>
    <t xml:space="preserve">INV-20250072</t>
  </si>
  <si>
    <t xml:space="preserve">INV-20250073</t>
  </si>
  <si>
    <t xml:space="preserve">INV-20250074</t>
  </si>
  <si>
    <t xml:space="preserve">INV-20250075</t>
  </si>
  <si>
    <t xml:space="preserve">INV-20250076</t>
  </si>
  <si>
    <t xml:space="preserve">INV-20250077</t>
  </si>
  <si>
    <t xml:space="preserve">INV-20250078</t>
  </si>
  <si>
    <t xml:space="preserve">INV-20250079</t>
  </si>
  <si>
    <t xml:space="preserve">INV-20250080</t>
  </si>
  <si>
    <t xml:space="preserve">INV-20250081</t>
  </si>
  <si>
    <t xml:space="preserve">INV-20250082</t>
  </si>
  <si>
    <t xml:space="preserve">INV-20250083</t>
  </si>
  <si>
    <t xml:space="preserve">INV-20250084</t>
  </si>
  <si>
    <t xml:space="preserve">INV-20250085</t>
  </si>
  <si>
    <t xml:space="preserve">INV-20250086</t>
  </si>
  <si>
    <t xml:space="preserve">INV-20250087</t>
  </si>
  <si>
    <t xml:space="preserve">INV-20250088</t>
  </si>
  <si>
    <t xml:space="preserve">INV-20250089</t>
  </si>
  <si>
    <t xml:space="preserve">INV-20250090</t>
  </si>
  <si>
    <t xml:space="preserve">Accounts Receivable Ageing Report</t>
  </si>
  <si>
    <t xml:space="preserve">As of:</t>
  </si>
  <si>
    <t xml:space="preserve">% Overdue</t>
  </si>
  <si>
    <t xml:space="preserve">Credit Status</t>
  </si>
  <si>
    <t xml:space="preserve">Total</t>
  </si>
  <si>
    <t xml:space="preserve">% of total AR</t>
  </si>
  <si>
    <t xml:space="preserve">Monthly Billing, Collections &amp; Collection Effectiveness</t>
  </si>
  <si>
    <t xml:space="preserve">Month start</t>
  </si>
  <si>
    <t xml:space="preserve">Month end</t>
  </si>
  <si>
    <t xml:space="preserve">Billed ($)</t>
  </si>
  <si>
    <t xml:space="preserve">Collected ($)</t>
  </si>
  <si>
    <t xml:space="preserve">Opening AR ($)</t>
  </si>
  <si>
    <t xml:space="preserve">Closing AR ($)</t>
  </si>
  <si>
    <t xml:space="preserve">CEI %</t>
  </si>
  <si>
    <t xml:space="preserve">Coll./Billed</t>
  </si>
  <si>
    <t xml:space="preserve">Note: CEI here = collections ÷ (opening AR + billings) for the month — a simplified effectiveness measure.</t>
  </si>
  <si>
    <t xml:space="preserve">Key ratios</t>
  </si>
  <si>
    <t xml:space="preserve">Total AR at report date ($)</t>
  </si>
  <si>
    <t xml:space="preserve">Credit sales in lookback period ($)</t>
  </si>
  <si>
    <t xml:space="preserve">Average days to pay (paid invoices)</t>
  </si>
  <si>
    <t xml:space="preserve">Invoices issued (count)</t>
  </si>
  <si>
    <t xml:space="preserve">Invoices fully paid (count)</t>
  </si>
  <si>
    <t xml:space="preserve">Expected Cash Collections — next 3 months</t>
  </si>
  <si>
    <t xml:space="preserve">Month start →</t>
  </si>
  <si>
    <t xml:space="preserve">Source</t>
  </si>
  <si>
    <t xml:space="preserve">Jan-26 ($)</t>
  </si>
  <si>
    <t xml:space="preserve">Feb-26 ($)</t>
  </si>
  <si>
    <t xml:space="preserve">Mar-26 ($)</t>
  </si>
  <si>
    <t xml:space="preserve">Total ($)</t>
  </si>
  <si>
    <t xml:space="preserve">Not-yet-due invoices (by due date)</t>
  </si>
  <si>
    <t xml:space="preserve">Overdue 1-30 days (collected after delay)</t>
  </si>
  <si>
    <t xml:space="preserve">Overdue 31-60 days (collected after delay)</t>
  </si>
  <si>
    <t xml:space="preserve">Overdue 61-90 days (collected after delay)</t>
  </si>
  <si>
    <t xml:space="preserve">Overdue 90+ days (collected after delay)</t>
  </si>
  <si>
    <t xml:space="preserve">Total expected collections</t>
  </si>
  <si>
    <t xml:space="preserve">At-risk balance (not expected to be collected) ($)</t>
  </si>
  <si>
    <t xml:space="preserve">Note: Not-due invoices falling due after Mar-26 are excluded from this 3-month view.</t>
  </si>
  <si>
    <t xml:space="preserve">Check: not-due balance falling after Mar-26 ($)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</si>
</sst>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-mmm\-yyyy"/>
    <numFmt numFmtId="166" formatCode="\$#,##0;&quot;($&quot;#,##0\);\-"/>
    <numFmt numFmtId="167" formatCode="0.0%"/>
    <numFmt numFmtId="168" formatCode="0.0"/>
    <numFmt numFmtId="169" formatCode="dd\-mmm\-yy"/>
    <numFmt numFmtId="170" formatCode="mmm\-yy"/>
    <numFmt numFmtId="171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3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 Ageing (total)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AR_Aging!$C$4:$G$4</c:f>
              <c:strCache>
                <c:ptCount val="5"/>
                <c:pt idx="0">
                  <c:v>Not due</c:v>
                </c:pt>
                <c:pt idx="1">
                  <c:v>1-30</c:v>
                </c:pt>
                <c:pt idx="2">
                  <c:v>31-60</c:v>
                </c:pt>
                <c:pt idx="3">
                  <c:v>61-90</c:v>
                </c:pt>
                <c:pt idx="4">
                  <c:v>90+</c:v>
                </c:pt>
              </c:strCache>
            </c:strRef>
          </c:cat>
          <c:val>
            <c:numRef>
              <c:f>AR_Aging!$C$15:$G$15</c:f>
              <c:numCache>
                <c:formatCode>\$#,##0;"($"#,##0\);\-</c:formatCode>
                <c:ptCount val="5"/>
                <c:pt idx="0">
                  <c:v>491180</c:v>
                </c:pt>
                <c:pt idx="1">
                  <c:v>135150</c:v>
                </c:pt>
                <c:pt idx="2">
                  <c:v>83360</c:v>
                </c:pt>
                <c:pt idx="3">
                  <c:v>0</c:v>
                </c:pt>
                <c:pt idx="4">
                  <c:v>47560</c:v>
                </c:pt>
              </c:numCache>
            </c:numRef>
          </c:val>
        </c:ser>
        <c:gapWidth val="150"/>
        <c:overlap val="0"/>
        <c:axId val="73987540"/>
        <c:axId val="60571211"/>
      </c:barChart>
      <c:catAx>
        <c:axId val="739875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71211"/>
        <c:crosses val="autoZero"/>
        <c:auto val="1"/>
        <c:lblAlgn val="ctr"/>
        <c:lblOffset val="100"/>
        <c:noMultiLvlLbl val="0"/>
      </c:catAx>
      <c:valAx>
        <c:axId val="6057121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9875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Billed vs Collected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Collections_KPI!C3</c:f>
              <c:strCache>
                <c:ptCount val="1"/>
                <c:pt idx="0">
                  <c:v>Billed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Collections_KPI!$A$4:$A$9</c:f>
              <c:strCache>
                <c:ptCount val="6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</c:strCache>
            </c:strRef>
          </c:cat>
          <c:val>
            <c:numRef>
              <c:f>Collections_KPI!$C$4:$C$9</c:f>
              <c:numCache>
                <c:formatCode>\$#,##0;"($"#,##0\);\-</c:formatCode>
                <c:ptCount val="6"/>
                <c:pt idx="0">
                  <c:v>297690</c:v>
                </c:pt>
                <c:pt idx="1">
                  <c:v>246140</c:v>
                </c:pt>
                <c:pt idx="2">
                  <c:v>386680</c:v>
                </c:pt>
                <c:pt idx="3">
                  <c:v>365960</c:v>
                </c:pt>
                <c:pt idx="4">
                  <c:v>322890</c:v>
                </c:pt>
                <c:pt idx="5">
                  <c:v>415230</c:v>
                </c:pt>
              </c:numCache>
            </c:numRef>
          </c:val>
        </c:ser>
        <c:ser>
          <c:idx val="1"/>
          <c:order val="1"/>
          <c:tx>
            <c:strRef>
              <c:f>Collections_KPI!D3</c:f>
              <c:strCache>
                <c:ptCount val="1"/>
                <c:pt idx="0">
                  <c:v>Collected ($)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Collections_KPI!$A$4:$A$9</c:f>
              <c:strCache>
                <c:ptCount val="6"/>
                <c:pt idx="0">
                  <c:v>Jul-25</c:v>
                </c:pt>
                <c:pt idx="1">
                  <c:v>Aug-25</c:v>
                </c:pt>
                <c:pt idx="2">
                  <c:v>Sep-25</c:v>
                </c:pt>
                <c:pt idx="3">
                  <c:v>Oct-25</c:v>
                </c:pt>
                <c:pt idx="4">
                  <c:v>Nov-25</c:v>
                </c:pt>
                <c:pt idx="5">
                  <c:v>Dec-25</c:v>
                </c:pt>
              </c:strCache>
            </c:strRef>
          </c:cat>
          <c:val>
            <c:numRef>
              <c:f>Collections_KPI!$D$4:$D$9</c:f>
              <c:numCache>
                <c:formatCode>\$#,##0;"($"#,##0\);\-</c:formatCode>
                <c:ptCount val="6"/>
                <c:pt idx="0">
                  <c:v>105490</c:v>
                </c:pt>
                <c:pt idx="1">
                  <c:v>73150</c:v>
                </c:pt>
                <c:pt idx="2">
                  <c:v>203050</c:v>
                </c:pt>
                <c:pt idx="3">
                  <c:v>225280</c:v>
                </c:pt>
                <c:pt idx="4">
                  <c:v>373980</c:v>
                </c:pt>
                <c:pt idx="5">
                  <c:v>296390</c:v>
                </c:pt>
              </c:numCache>
            </c:numRef>
          </c:val>
        </c:ser>
        <c:gapWidth val="150"/>
        <c:overlap val="0"/>
        <c:axId val="89467631"/>
        <c:axId val="58102805"/>
      </c:barChart>
      <c:catAx>
        <c:axId val="89467631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02805"/>
        <c:crosses val="autoZero"/>
        <c:auto val="1"/>
        <c:lblAlgn val="ctr"/>
        <c:lblOffset val="100"/>
        <c:noMultiLvlLbl val="0"/>
      </c:catAx>
      <c:valAx>
        <c:axId val="581028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676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AR by customer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AR_Aging!$B$5:$B$14</c:f>
              <c:strCache>
                <c:ptCount val="10"/>
                <c:pt idx="0">
                  <c:v>Al Noor Construction</c:v>
                </c:pt>
                <c:pt idx="1">
                  <c:v>Gulf Infra Projects</c:v>
                </c:pt>
                <c:pt idx="2">
                  <c:v>Metro Utilities Co</c:v>
                </c:pt>
                <c:pt idx="3">
                  <c:v>Desert Logistics</c:v>
                </c:pt>
                <c:pt idx="4">
                  <c:v>BlueWave Telecom</c:v>
                </c:pt>
                <c:pt idx="5">
                  <c:v>Harbor Developers</c:v>
                </c:pt>
                <c:pt idx="6">
                  <c:v>Sunrise Facilities</c:v>
                </c:pt>
                <c:pt idx="7">
                  <c:v>Coastal Roads Authority</c:v>
                </c:pt>
                <c:pt idx="8">
                  <c:v>Prime Events</c:v>
                </c:pt>
                <c:pt idx="9">
                  <c:v>Oasis Retail Group</c:v>
                </c:pt>
              </c:strCache>
            </c:strRef>
          </c:cat>
          <c:val>
            <c:numRef>
              <c:f>AR_Aging!$H$5:$H$14</c:f>
              <c:numCache>
                <c:formatCode>\$#,##0;"($"#,##0\);\-</c:formatCode>
                <c:ptCount val="10"/>
                <c:pt idx="0">
                  <c:v>21750</c:v>
                </c:pt>
                <c:pt idx="1">
                  <c:v>51640</c:v>
                </c:pt>
                <c:pt idx="2">
                  <c:v>80310</c:v>
                </c:pt>
                <c:pt idx="3">
                  <c:v>92400</c:v>
                </c:pt>
                <c:pt idx="4">
                  <c:v>21780</c:v>
                </c:pt>
                <c:pt idx="5">
                  <c:v>88290</c:v>
                </c:pt>
                <c:pt idx="6">
                  <c:v>28250</c:v>
                </c:pt>
                <c:pt idx="7">
                  <c:v>274840</c:v>
                </c:pt>
                <c:pt idx="8">
                  <c:v>68430</c:v>
                </c:pt>
                <c:pt idx="9">
                  <c:v>29560</c:v>
                </c:pt>
              </c:numCache>
            </c:numRef>
          </c:val>
        </c:ser>
        <c:gapWidth val="150"/>
        <c:overlap val="0"/>
        <c:axId val="15261803"/>
        <c:axId val="9114400"/>
      </c:barChart>
      <c:catAx>
        <c:axId val="152618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4400"/>
        <c:crosses val="autoZero"/>
        <c:auto val="1"/>
        <c:lblAlgn val="ctr"/>
        <c:lblOffset val="100"/>
        <c:noMultiLvlLbl val="0"/>
      </c:catAx>
      <c:valAx>
        <c:axId val="91144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618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Expected collections (next 3 months)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Cash_Forecast!$B$3:$D$3</c:f>
              <c:strCache>
                <c:ptCount val="3"/>
                <c:pt idx="0">
                  <c:v>Jan-26 ($)</c:v>
                </c:pt>
                <c:pt idx="1">
                  <c:v>Feb-26 ($)</c:v>
                </c:pt>
                <c:pt idx="2">
                  <c:v>Mar-26 ($)</c:v>
                </c:pt>
              </c:strCache>
            </c:strRef>
          </c:cat>
          <c:val>
            <c:numRef>
              <c:f>Cash_Forecast!$B$9:$D$9</c:f>
              <c:numCache>
                <c:formatCode>\$#,##0;"($"#,##0\);\-</c:formatCode>
                <c:ptCount val="3"/>
                <c:pt idx="0">
                  <c:v>466278.1</c:v>
                </c:pt>
                <c:pt idx="1">
                  <c:v>187875.8</c:v>
                </c:pt>
                <c:pt idx="2">
                  <c:v>40719</c:v>
                </c:pt>
              </c:numCache>
            </c:numRef>
          </c:val>
        </c:ser>
        <c:gapWidth val="150"/>
        <c:overlap val="0"/>
        <c:axId val="76176213"/>
        <c:axId val="8453827"/>
      </c:barChart>
      <c:catAx>
        <c:axId val="761762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3827"/>
        <c:crosses val="autoZero"/>
        <c:auto val="1"/>
        <c:lblAlgn val="ctr"/>
        <c:lblOffset val="100"/>
        <c:noMultiLvlLbl val="0"/>
      </c:catAx>
      <c:valAx>
        <c:axId val="84538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1762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102240</xdr:rowOff>
    </xdr:from>
    <xdr:to>
      <xdr:col>3</xdr:col>
      <xdr:colOff>1374480</xdr:colOff>
      <xdr:row>25</xdr:row>
      <xdr:rowOff>135000</xdr:rowOff>
    </xdr:to>
    <xdr:graphicFrame>
      <xdr:nvGraphicFramePr>
        <xdr:cNvPr id="0" name="Chart 1"/>
        <xdr:cNvGraphicFramePr/>
      </xdr:nvGraphicFramePr>
      <xdr:xfrm>
        <a:off x="0" y="2286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11</xdr:row>
      <xdr:rowOff>102240</xdr:rowOff>
    </xdr:from>
    <xdr:to>
      <xdr:col>7</xdr:col>
      <xdr:colOff>433440</xdr:colOff>
      <xdr:row>25</xdr:row>
      <xdr:rowOff>135000</xdr:rowOff>
    </xdr:to>
    <xdr:graphicFrame>
      <xdr:nvGraphicFramePr>
        <xdr:cNvPr id="1" name="Chart 2"/>
        <xdr:cNvGraphicFramePr/>
      </xdr:nvGraphicFramePr>
      <xdr:xfrm>
        <a:off x="3665160" y="22860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102240</xdr:rowOff>
    </xdr:from>
    <xdr:to>
      <xdr:col>3</xdr:col>
      <xdr:colOff>1374480</xdr:colOff>
      <xdr:row>44</xdr:row>
      <xdr:rowOff>103320</xdr:rowOff>
    </xdr:to>
    <xdr:graphicFrame>
      <xdr:nvGraphicFramePr>
        <xdr:cNvPr id="2" name="Chart 3"/>
        <xdr:cNvGraphicFramePr/>
      </xdr:nvGraphicFramePr>
      <xdr:xfrm>
        <a:off x="0" y="5334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27</xdr:row>
      <xdr:rowOff>102240</xdr:rowOff>
    </xdr:from>
    <xdr:to>
      <xdr:col>7</xdr:col>
      <xdr:colOff>433440</xdr:colOff>
      <xdr:row>44</xdr:row>
      <xdr:rowOff>103320</xdr:rowOff>
    </xdr:to>
    <xdr:graphicFrame>
      <xdr:nvGraphicFramePr>
        <xdr:cNvPr id="3" name="Chart 4"/>
        <xdr:cNvGraphicFramePr/>
      </xdr:nvGraphicFramePr>
      <xdr:xfrm>
        <a:off x="3665160" y="53341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15</v>
      </c>
      <c r="B1" s="5"/>
      <c r="C1" s="5"/>
      <c r="D1" s="5"/>
      <c r="E1" s="5"/>
    </row>
    <row r="2" customFormat="false" ht="15" hidden="false" customHeight="false" outlineLevel="0" collapsed="false">
      <c r="A2" s="5" t="s">
        <v>16</v>
      </c>
      <c r="B2" s="6" t="n">
        <f aca="false">Assumptions!$B$2</f>
        <v>46022</v>
      </c>
      <c r="C2" s="5"/>
      <c r="D2" s="5"/>
      <c r="E2" s="5"/>
    </row>
    <row r="3" customFormat="false" ht="15" hidden="false" customHeight="false" outlineLevel="0" collapsed="false">
      <c r="A3" s="5"/>
      <c r="B3" s="5"/>
      <c r="C3" s="5"/>
      <c r="D3" s="5"/>
      <c r="E3" s="5"/>
    </row>
    <row r="4" customFormat="false" ht="16.15" hidden="false" customHeight="false" outlineLevel="0" collapsed="false">
      <c r="A4" s="7" t="s">
        <v>17</v>
      </c>
      <c r="B4" s="8" t="n">
        <f aca="false">Collections_KPI!B16</f>
        <v>757250</v>
      </c>
      <c r="C4" s="5"/>
      <c r="D4" s="7" t="s">
        <v>18</v>
      </c>
      <c r="E4" s="8" t="n">
        <f aca="false">Collections_KPI!B19</f>
        <v>266070</v>
      </c>
    </row>
    <row r="5" customFormat="false" ht="15" hidden="false" customHeight="false" outlineLevel="0" collapsed="false">
      <c r="A5" s="5"/>
      <c r="B5" s="5"/>
      <c r="C5" s="5"/>
      <c r="D5" s="5"/>
      <c r="E5" s="5"/>
    </row>
    <row r="6" customFormat="false" ht="16.15" hidden="false" customHeight="false" outlineLevel="0" collapsed="false">
      <c r="A6" s="7" t="s">
        <v>19</v>
      </c>
      <c r="B6" s="9" t="n">
        <f aca="false">Collections_KPI!B20</f>
        <v>0.351363486299109</v>
      </c>
      <c r="C6" s="5"/>
      <c r="D6" s="7" t="s">
        <v>20</v>
      </c>
      <c r="E6" s="10" t="n">
        <f aca="false">Collections_KPI!B18</f>
        <v>64.2233174390773</v>
      </c>
    </row>
    <row r="7" customFormat="false" ht="15" hidden="false" customHeight="false" outlineLevel="0" collapsed="false">
      <c r="A7" s="5"/>
      <c r="B7" s="5"/>
      <c r="C7" s="5"/>
      <c r="D7" s="5"/>
      <c r="E7" s="5"/>
    </row>
    <row r="8" customFormat="false" ht="16.15" hidden="false" customHeight="false" outlineLevel="0" collapsed="false">
      <c r="A8" s="7" t="s">
        <v>21</v>
      </c>
      <c r="B8" s="8" t="n">
        <f aca="false">Collections_KPI!B21</f>
        <v>47560</v>
      </c>
      <c r="C8" s="5"/>
      <c r="D8" s="7" t="s">
        <v>22</v>
      </c>
      <c r="E8" s="9" t="n">
        <f aca="false">Collections_KPI!B25</f>
        <v>0.627811991605188</v>
      </c>
    </row>
    <row r="9" customFormat="false" ht="15" hidden="false" customHeight="false" outlineLevel="0" collapsed="false">
      <c r="A9" s="5"/>
      <c r="B9" s="5"/>
      <c r="C9" s="5"/>
      <c r="D9" s="5"/>
      <c r="E9" s="5"/>
    </row>
    <row r="10" customFormat="false" ht="16.15" hidden="false" customHeight="false" outlineLevel="0" collapsed="false">
      <c r="A10" s="7" t="s">
        <v>23</v>
      </c>
      <c r="B10" s="8" t="n">
        <f aca="false">Cash_Forecast!E9</f>
        <v>694872.9</v>
      </c>
      <c r="C10" s="5"/>
      <c r="D10" s="7" t="s">
        <v>24</v>
      </c>
      <c r="E10" s="8" t="n">
        <f aca="false">Cash_Forecast!B11</f>
        <v>62377.1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11" t="s">
        <v>25</v>
      </c>
      <c r="B1" s="11" t="s">
        <v>26</v>
      </c>
      <c r="C1" s="11" t="s">
        <v>27</v>
      </c>
    </row>
    <row r="2" customFormat="false" ht="15" hidden="false" customHeight="false" outlineLevel="0" collapsed="false">
      <c r="A2" s="3" t="s">
        <v>28</v>
      </c>
      <c r="B2" s="12" t="n">
        <v>46022</v>
      </c>
      <c r="C2" s="13" t="s">
        <v>29</v>
      </c>
    </row>
    <row r="3" customFormat="false" ht="15" hidden="false" customHeight="false" outlineLevel="0" collapsed="false">
      <c r="A3" s="3" t="s">
        <v>30</v>
      </c>
      <c r="B3" s="14" t="n">
        <v>90</v>
      </c>
      <c r="C3" s="13" t="s">
        <v>31</v>
      </c>
    </row>
    <row r="4" customFormat="false" ht="15" hidden="false" customHeight="false" outlineLevel="0" collapsed="false">
      <c r="A4" s="3" t="s">
        <v>32</v>
      </c>
      <c r="B4" s="15" t="n">
        <v>0.98</v>
      </c>
      <c r="C4" s="13" t="s">
        <v>33</v>
      </c>
    </row>
    <row r="5" customFormat="false" ht="15" hidden="false" customHeight="false" outlineLevel="0" collapsed="false">
      <c r="A5" s="3" t="s">
        <v>34</v>
      </c>
      <c r="B5" s="15" t="n">
        <v>0.95</v>
      </c>
      <c r="C5" s="13"/>
    </row>
    <row r="6" customFormat="false" ht="15" hidden="false" customHeight="false" outlineLevel="0" collapsed="false">
      <c r="A6" s="3" t="s">
        <v>35</v>
      </c>
      <c r="B6" s="15" t="n">
        <v>0.85</v>
      </c>
      <c r="C6" s="13"/>
    </row>
    <row r="7" customFormat="false" ht="15" hidden="false" customHeight="false" outlineLevel="0" collapsed="false">
      <c r="A7" s="3" t="s">
        <v>36</v>
      </c>
      <c r="B7" s="15" t="n">
        <v>0.65</v>
      </c>
      <c r="C7" s="13"/>
    </row>
    <row r="8" customFormat="false" ht="15" hidden="false" customHeight="false" outlineLevel="0" collapsed="false">
      <c r="A8" s="3" t="s">
        <v>37</v>
      </c>
      <c r="B8" s="15" t="n">
        <v>0.3</v>
      </c>
      <c r="C8" s="13" t="s">
        <v>38</v>
      </c>
    </row>
    <row r="9" customFormat="false" ht="15" hidden="false" customHeight="false" outlineLevel="0" collapsed="false">
      <c r="A9" s="3" t="s">
        <v>39</v>
      </c>
      <c r="B9" s="14" t="n">
        <v>30</v>
      </c>
      <c r="C9" s="13" t="s">
        <v>40</v>
      </c>
    </row>
    <row r="10" customFormat="false" ht="15" hidden="false" customHeight="false" outlineLevel="0" collapsed="false">
      <c r="A10" s="3" t="s">
        <v>41</v>
      </c>
      <c r="B10" s="14" t="s">
        <v>42</v>
      </c>
      <c r="C10" s="13" t="s">
        <v>43</v>
      </c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4" t="s">
        <v>44</v>
      </c>
      <c r="B12" s="5"/>
      <c r="C12" s="5"/>
    </row>
    <row r="13" customFormat="false" ht="15" hidden="false" customHeight="false" outlineLevel="0" collapsed="false">
      <c r="A13" s="3" t="s">
        <v>45</v>
      </c>
      <c r="B13" s="5"/>
      <c r="C13" s="5"/>
    </row>
    <row r="14" customFormat="false" ht="15" hidden="false" customHeight="false" outlineLevel="0" collapsed="false">
      <c r="A14" s="3" t="s">
        <v>46</v>
      </c>
      <c r="B14" s="5"/>
      <c r="C14" s="5"/>
    </row>
    <row r="15" customFormat="false" ht="15" hidden="false" customHeight="false" outlineLevel="0" collapsed="false">
      <c r="A15" s="3" t="s">
        <v>47</v>
      </c>
      <c r="B15" s="5"/>
      <c r="C15" s="5"/>
    </row>
    <row r="16" customFormat="false" ht="15" hidden="false" customHeight="false" outlineLevel="0" collapsed="false">
      <c r="A16" s="3" t="s">
        <v>48</v>
      </c>
      <c r="B16" s="5"/>
      <c r="C16" s="5"/>
    </row>
    <row r="17" customFormat="false" ht="15" hidden="false" customHeight="false" outlineLevel="0" collapsed="false">
      <c r="A17" s="3" t="s">
        <v>49</v>
      </c>
      <c r="B17" s="5"/>
      <c r="C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26.85" hidden="false" customHeight="false" outlineLevel="0" collapsed="false">
      <c r="A1" s="11" t="s">
        <v>50</v>
      </c>
      <c r="B1" s="11" t="s">
        <v>51</v>
      </c>
      <c r="C1" s="11" t="s">
        <v>52</v>
      </c>
      <c r="D1" s="11" t="s">
        <v>53</v>
      </c>
      <c r="E1" s="11" t="s">
        <v>54</v>
      </c>
    </row>
    <row r="2" customFormat="false" ht="15" hidden="false" customHeight="false" outlineLevel="0" collapsed="false">
      <c r="A2" s="16" t="s">
        <v>55</v>
      </c>
      <c r="B2" s="16" t="s">
        <v>56</v>
      </c>
      <c r="C2" s="16" t="s">
        <v>57</v>
      </c>
      <c r="D2" s="17" t="n">
        <v>30</v>
      </c>
      <c r="E2" s="18" t="n">
        <v>150000</v>
      </c>
    </row>
    <row r="3" customFormat="false" ht="15" hidden="false" customHeight="false" outlineLevel="0" collapsed="false">
      <c r="A3" s="16" t="s">
        <v>58</v>
      </c>
      <c r="B3" s="16" t="s">
        <v>59</v>
      </c>
      <c r="C3" s="16" t="s">
        <v>60</v>
      </c>
      <c r="D3" s="17" t="n">
        <v>45</v>
      </c>
      <c r="E3" s="18" t="n">
        <v>250000</v>
      </c>
    </row>
    <row r="4" customFormat="false" ht="15" hidden="false" customHeight="false" outlineLevel="0" collapsed="false">
      <c r="A4" s="16" t="s">
        <v>61</v>
      </c>
      <c r="B4" s="16" t="s">
        <v>62</v>
      </c>
      <c r="C4" s="16" t="s">
        <v>63</v>
      </c>
      <c r="D4" s="17" t="n">
        <v>60</v>
      </c>
      <c r="E4" s="18" t="n">
        <v>200000</v>
      </c>
    </row>
    <row r="5" customFormat="false" ht="15" hidden="false" customHeight="false" outlineLevel="0" collapsed="false">
      <c r="A5" s="16" t="s">
        <v>64</v>
      </c>
      <c r="B5" s="16" t="s">
        <v>65</v>
      </c>
      <c r="C5" s="16" t="s">
        <v>66</v>
      </c>
      <c r="D5" s="17" t="n">
        <v>30</v>
      </c>
      <c r="E5" s="18" t="n">
        <v>80000</v>
      </c>
    </row>
    <row r="6" customFormat="false" ht="15" hidden="false" customHeight="false" outlineLevel="0" collapsed="false">
      <c r="A6" s="16" t="s">
        <v>67</v>
      </c>
      <c r="B6" s="16" t="s">
        <v>68</v>
      </c>
      <c r="C6" s="16" t="s">
        <v>69</v>
      </c>
      <c r="D6" s="17" t="n">
        <v>45</v>
      </c>
      <c r="E6" s="18" t="n">
        <v>120000</v>
      </c>
    </row>
    <row r="7" customFormat="false" ht="15" hidden="false" customHeight="false" outlineLevel="0" collapsed="false">
      <c r="A7" s="16" t="s">
        <v>70</v>
      </c>
      <c r="B7" s="16" t="s">
        <v>71</v>
      </c>
      <c r="C7" s="16" t="s">
        <v>72</v>
      </c>
      <c r="D7" s="17" t="n">
        <v>60</v>
      </c>
      <c r="E7" s="18" t="n">
        <v>180000</v>
      </c>
    </row>
    <row r="8" customFormat="false" ht="15" hidden="false" customHeight="false" outlineLevel="0" collapsed="false">
      <c r="A8" s="16" t="s">
        <v>73</v>
      </c>
      <c r="B8" s="16" t="s">
        <v>74</v>
      </c>
      <c r="C8" s="16" t="s">
        <v>75</v>
      </c>
      <c r="D8" s="17" t="n">
        <v>30</v>
      </c>
      <c r="E8" s="18" t="n">
        <v>60000</v>
      </c>
    </row>
    <row r="9" customFormat="false" ht="15" hidden="false" customHeight="false" outlineLevel="0" collapsed="false">
      <c r="A9" s="16" t="s">
        <v>76</v>
      </c>
      <c r="B9" s="16" t="s">
        <v>77</v>
      </c>
      <c r="C9" s="16" t="s">
        <v>78</v>
      </c>
      <c r="D9" s="17" t="n">
        <v>90</v>
      </c>
      <c r="E9" s="18" t="n">
        <v>300000</v>
      </c>
    </row>
    <row r="10" customFormat="false" ht="15" hidden="false" customHeight="false" outlineLevel="0" collapsed="false">
      <c r="A10" s="16" t="s">
        <v>79</v>
      </c>
      <c r="B10" s="16" t="s">
        <v>80</v>
      </c>
      <c r="C10" s="16" t="s">
        <v>81</v>
      </c>
      <c r="D10" s="17" t="n">
        <v>15</v>
      </c>
      <c r="E10" s="18" t="n">
        <v>40000</v>
      </c>
    </row>
    <row r="11" customFormat="false" ht="15" hidden="false" customHeight="false" outlineLevel="0" collapsed="false">
      <c r="A11" s="16" t="s">
        <v>82</v>
      </c>
      <c r="B11" s="16" t="s">
        <v>83</v>
      </c>
      <c r="C11" s="16" t="s">
        <v>84</v>
      </c>
      <c r="D11" s="17" t="n">
        <v>30</v>
      </c>
      <c r="E11" s="18" t="n">
        <v>70000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8" min="7" style="0" width="15"/>
    <col collapsed="false" customWidth="true" hidden="false" outlineLevel="0" max="9" min="9" style="0" width="13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1"/>
  </cols>
  <sheetData>
    <row r="1" customFormat="false" ht="39.55" hidden="false" customHeight="false" outlineLevel="0" collapsed="false">
      <c r="A1" s="11" t="s">
        <v>85</v>
      </c>
      <c r="B1" s="11" t="s">
        <v>50</v>
      </c>
      <c r="C1" s="11" t="s">
        <v>51</v>
      </c>
      <c r="D1" s="11" t="s">
        <v>86</v>
      </c>
      <c r="E1" s="11" t="s">
        <v>53</v>
      </c>
      <c r="F1" s="11" t="s">
        <v>87</v>
      </c>
      <c r="G1" s="11" t="s">
        <v>88</v>
      </c>
      <c r="H1" s="11" t="s">
        <v>89</v>
      </c>
      <c r="I1" s="11" t="s">
        <v>90</v>
      </c>
      <c r="J1" s="11" t="s">
        <v>91</v>
      </c>
      <c r="K1" s="11" t="s">
        <v>92</v>
      </c>
      <c r="L1" s="11" t="s">
        <v>93</v>
      </c>
      <c r="M1" s="11" t="s">
        <v>94</v>
      </c>
    </row>
    <row r="2" customFormat="false" ht="15" hidden="false" customHeight="false" outlineLevel="0" collapsed="false">
      <c r="A2" s="17" t="s">
        <v>95</v>
      </c>
      <c r="B2" s="17" t="s">
        <v>79</v>
      </c>
      <c r="C2" s="19" t="str">
        <f aca="false">INDEX(Customers!$B$2:$B$11,MATCH(B2,Customers!$A$2:$A$11,0))</f>
        <v>Prime Events</v>
      </c>
      <c r="D2" s="20" t="n">
        <v>45839</v>
      </c>
      <c r="E2" s="19" t="n">
        <f aca="false">INDEX(Customers!$D$2:$D$11,MATCH(B2,Customers!$A$2:$A$11,0))</f>
        <v>15</v>
      </c>
      <c r="F2" s="21" t="n">
        <f aca="false">D2+E2</f>
        <v>45854</v>
      </c>
      <c r="G2" s="18" t="n">
        <v>38990</v>
      </c>
      <c r="H2" s="18" t="n">
        <v>38990</v>
      </c>
      <c r="I2" s="20" t="n">
        <v>45858</v>
      </c>
      <c r="J2" s="22" t="n">
        <f aca="false">G2-H2</f>
        <v>0</v>
      </c>
      <c r="K2" s="16" t="n">
        <f aca="false">IF(AND(J2&gt;0,Assumptions!$B$2&gt;F2),Assumptions!$B$2-F2,0)</f>
        <v>0</v>
      </c>
      <c r="L2" s="16" t="str">
        <f aca="false">IF(J2&lt;=0,"Paid",IF(K2=0,"Not due",IF(K2&lt;=30,"1-30",IF(K2&lt;=60,"31-60",IF(K2&lt;=90,"61-90","90+")))))</f>
        <v>Paid</v>
      </c>
      <c r="M2" s="16" t="n">
        <f aca="false">IF(AND(J2&lt;=0,I2&lt;&gt;""),I2-D2,"")</f>
        <v>19</v>
      </c>
    </row>
    <row r="3" customFormat="false" ht="15" hidden="false" customHeight="false" outlineLevel="0" collapsed="false">
      <c r="A3" s="17" t="s">
        <v>96</v>
      </c>
      <c r="B3" s="17" t="s">
        <v>79</v>
      </c>
      <c r="C3" s="19" t="str">
        <f aca="false">INDEX(Customers!$B$2:$B$11,MATCH(B3,Customers!$A$2:$A$11,0))</f>
        <v>Prime Events</v>
      </c>
      <c r="D3" s="20" t="n">
        <v>45839</v>
      </c>
      <c r="E3" s="19" t="n">
        <f aca="false">INDEX(Customers!$D$2:$D$11,MATCH(B3,Customers!$A$2:$A$11,0))</f>
        <v>15</v>
      </c>
      <c r="F3" s="21" t="n">
        <f aca="false">D3+E3</f>
        <v>45854</v>
      </c>
      <c r="G3" s="18" t="n">
        <v>22980</v>
      </c>
      <c r="H3" s="18" t="n">
        <v>22980</v>
      </c>
      <c r="I3" s="20" t="n">
        <v>45849</v>
      </c>
      <c r="J3" s="22" t="n">
        <f aca="false">G3-H3</f>
        <v>0</v>
      </c>
      <c r="K3" s="16" t="n">
        <f aca="false">IF(AND(J3&gt;0,Assumptions!$B$2&gt;F3),Assumptions!$B$2-F3,0)</f>
        <v>0</v>
      </c>
      <c r="L3" s="16" t="str">
        <f aca="false">IF(J3&lt;=0,"Paid",IF(K3=0,"Not due",IF(K3&lt;=30,"1-30",IF(K3&lt;=60,"31-60",IF(K3&lt;=90,"61-90","90+")))))</f>
        <v>Paid</v>
      </c>
      <c r="M3" s="16" t="n">
        <f aca="false">IF(AND(J3&lt;=0,I3&lt;&gt;""),I3-D3,"")</f>
        <v>10</v>
      </c>
    </row>
    <row r="4" customFormat="false" ht="15" hidden="false" customHeight="false" outlineLevel="0" collapsed="false">
      <c r="A4" s="17" t="s">
        <v>97</v>
      </c>
      <c r="B4" s="17" t="s">
        <v>67</v>
      </c>
      <c r="C4" s="19" t="str">
        <f aca="false">INDEX(Customers!$B$2:$B$11,MATCH(B4,Customers!$A$2:$A$11,0))</f>
        <v>BlueWave Telecom</v>
      </c>
      <c r="D4" s="20" t="n">
        <v>45842</v>
      </c>
      <c r="E4" s="19" t="n">
        <f aca="false">INDEX(Customers!$D$2:$D$11,MATCH(B4,Customers!$A$2:$A$11,0))</f>
        <v>45</v>
      </c>
      <c r="F4" s="21" t="n">
        <f aca="false">D4+E4</f>
        <v>45887</v>
      </c>
      <c r="G4" s="18" t="n">
        <v>8960</v>
      </c>
      <c r="H4" s="18" t="n">
        <v>8960</v>
      </c>
      <c r="I4" s="20" t="n">
        <v>45882</v>
      </c>
      <c r="J4" s="22" t="n">
        <f aca="false">G4-H4</f>
        <v>0</v>
      </c>
      <c r="K4" s="16" t="n">
        <f aca="false">IF(AND(J4&gt;0,Assumptions!$B$2&gt;F4),Assumptions!$B$2-F4,0)</f>
        <v>0</v>
      </c>
      <c r="L4" s="16" t="str">
        <f aca="false">IF(J4&lt;=0,"Paid",IF(K4=0,"Not due",IF(K4&lt;=30,"1-30",IF(K4&lt;=60,"31-60",IF(K4&lt;=90,"61-90","90+")))))</f>
        <v>Paid</v>
      </c>
      <c r="M4" s="16" t="n">
        <f aca="false">IF(AND(J4&lt;=0,I4&lt;&gt;""),I4-D4,"")</f>
        <v>40</v>
      </c>
    </row>
    <row r="5" customFormat="false" ht="15" hidden="false" customHeight="false" outlineLevel="0" collapsed="false">
      <c r="A5" s="17" t="s">
        <v>98</v>
      </c>
      <c r="B5" s="17" t="s">
        <v>73</v>
      </c>
      <c r="C5" s="19" t="str">
        <f aca="false">INDEX(Customers!$B$2:$B$11,MATCH(B5,Customers!$A$2:$A$11,0))</f>
        <v>Sunrise Facilities</v>
      </c>
      <c r="D5" s="20" t="n">
        <v>45842</v>
      </c>
      <c r="E5" s="19" t="n">
        <f aca="false">INDEX(Customers!$D$2:$D$11,MATCH(B5,Customers!$A$2:$A$11,0))</f>
        <v>30</v>
      </c>
      <c r="F5" s="21" t="n">
        <f aca="false">D5+E5</f>
        <v>45872</v>
      </c>
      <c r="G5" s="18" t="n">
        <v>43520</v>
      </c>
      <c r="H5" s="18" t="n">
        <v>43520</v>
      </c>
      <c r="I5" s="20" t="n">
        <v>45868</v>
      </c>
      <c r="J5" s="22" t="n">
        <f aca="false">G5-H5</f>
        <v>0</v>
      </c>
      <c r="K5" s="16" t="n">
        <f aca="false">IF(AND(J5&gt;0,Assumptions!$B$2&gt;F5),Assumptions!$B$2-F5,0)</f>
        <v>0</v>
      </c>
      <c r="L5" s="16" t="str">
        <f aca="false">IF(J5&lt;=0,"Paid",IF(K5=0,"Not due",IF(K5&lt;=30,"1-30",IF(K5&lt;=60,"31-60",IF(K5&lt;=90,"61-90","90+")))))</f>
        <v>Paid</v>
      </c>
      <c r="M5" s="16" t="n">
        <f aca="false">IF(AND(J5&lt;=0,I5&lt;&gt;""),I5-D5,"")</f>
        <v>26</v>
      </c>
    </row>
    <row r="6" customFormat="false" ht="15" hidden="false" customHeight="false" outlineLevel="0" collapsed="false">
      <c r="A6" s="17" t="s">
        <v>99</v>
      </c>
      <c r="B6" s="17" t="s">
        <v>82</v>
      </c>
      <c r="C6" s="19" t="str">
        <f aca="false">INDEX(Customers!$B$2:$B$11,MATCH(B6,Customers!$A$2:$A$11,0))</f>
        <v>Oasis Retail Group</v>
      </c>
      <c r="D6" s="20" t="n">
        <v>45845</v>
      </c>
      <c r="E6" s="19" t="n">
        <f aca="false">INDEX(Customers!$D$2:$D$11,MATCH(B6,Customers!$A$2:$A$11,0))</f>
        <v>30</v>
      </c>
      <c r="F6" s="21" t="n">
        <f aca="false">D6+E6</f>
        <v>45875</v>
      </c>
      <c r="G6" s="18" t="n">
        <v>3630</v>
      </c>
      <c r="H6" s="18" t="n">
        <v>3630</v>
      </c>
      <c r="I6" s="20" t="n">
        <v>45884</v>
      </c>
      <c r="J6" s="22" t="n">
        <f aca="false">G6-H6</f>
        <v>0</v>
      </c>
      <c r="K6" s="16" t="n">
        <f aca="false">IF(AND(J6&gt;0,Assumptions!$B$2&gt;F6),Assumptions!$B$2-F6,0)</f>
        <v>0</v>
      </c>
      <c r="L6" s="16" t="str">
        <f aca="false">IF(J6&lt;=0,"Paid",IF(K6=0,"Not due",IF(K6&lt;=30,"1-30",IF(K6&lt;=60,"31-60",IF(K6&lt;=90,"61-90","90+")))))</f>
        <v>Paid</v>
      </c>
      <c r="M6" s="16" t="n">
        <f aca="false">IF(AND(J6&lt;=0,I6&lt;&gt;""),I6-D6,"")</f>
        <v>39</v>
      </c>
    </row>
    <row r="7" customFormat="false" ht="15" hidden="false" customHeight="false" outlineLevel="0" collapsed="false">
      <c r="A7" s="17" t="s">
        <v>100</v>
      </c>
      <c r="B7" s="17" t="s">
        <v>76</v>
      </c>
      <c r="C7" s="19" t="str">
        <f aca="false">INDEX(Customers!$B$2:$B$11,MATCH(B7,Customers!$A$2:$A$11,0))</f>
        <v>Coastal Roads Authority</v>
      </c>
      <c r="D7" s="20" t="n">
        <v>45848</v>
      </c>
      <c r="E7" s="19" t="n">
        <f aca="false">INDEX(Customers!$D$2:$D$11,MATCH(B7,Customers!$A$2:$A$11,0))</f>
        <v>90</v>
      </c>
      <c r="F7" s="21" t="n">
        <f aca="false">D7+E7</f>
        <v>45938</v>
      </c>
      <c r="G7" s="18" t="n">
        <v>16700</v>
      </c>
      <c r="H7" s="18" t="n">
        <v>16700</v>
      </c>
      <c r="I7" s="20" t="n">
        <v>45982</v>
      </c>
      <c r="J7" s="22" t="n">
        <f aca="false">G7-H7</f>
        <v>0</v>
      </c>
      <c r="K7" s="16" t="n">
        <f aca="false">IF(AND(J7&gt;0,Assumptions!$B$2&gt;F7),Assumptions!$B$2-F7,0)</f>
        <v>0</v>
      </c>
      <c r="L7" s="16" t="str">
        <f aca="false">IF(J7&lt;=0,"Paid",IF(K7=0,"Not due",IF(K7&lt;=30,"1-30",IF(K7&lt;=60,"31-60",IF(K7&lt;=90,"61-90","90+")))))</f>
        <v>Paid</v>
      </c>
      <c r="M7" s="16" t="n">
        <f aca="false">IF(AND(J7&lt;=0,I7&lt;&gt;""),I7-D7,"")</f>
        <v>134</v>
      </c>
    </row>
    <row r="8" customFormat="false" ht="15" hidden="false" customHeight="false" outlineLevel="0" collapsed="false">
      <c r="A8" s="17" t="s">
        <v>101</v>
      </c>
      <c r="B8" s="17" t="s">
        <v>67</v>
      </c>
      <c r="C8" s="19" t="str">
        <f aca="false">INDEX(Customers!$B$2:$B$11,MATCH(B8,Customers!$A$2:$A$11,0))</f>
        <v>BlueWave Telecom</v>
      </c>
      <c r="D8" s="20" t="n">
        <v>45851</v>
      </c>
      <c r="E8" s="19" t="n">
        <f aca="false">INDEX(Customers!$D$2:$D$11,MATCH(B8,Customers!$A$2:$A$11,0))</f>
        <v>45</v>
      </c>
      <c r="F8" s="21" t="n">
        <f aca="false">D8+E8</f>
        <v>45896</v>
      </c>
      <c r="G8" s="18" t="n">
        <v>23990</v>
      </c>
      <c r="H8" s="18" t="n">
        <v>23990</v>
      </c>
      <c r="I8" s="20" t="n">
        <v>45901</v>
      </c>
      <c r="J8" s="22" t="n">
        <f aca="false">G8-H8</f>
        <v>0</v>
      </c>
      <c r="K8" s="16" t="n">
        <f aca="false">IF(AND(J8&gt;0,Assumptions!$B$2&gt;F8),Assumptions!$B$2-F8,0)</f>
        <v>0</v>
      </c>
      <c r="L8" s="16" t="str">
        <f aca="false">IF(J8&lt;=0,"Paid",IF(K8=0,"Not due",IF(K8&lt;=30,"1-30",IF(K8&lt;=60,"31-60",IF(K8&lt;=90,"61-90","90+")))))</f>
        <v>Paid</v>
      </c>
      <c r="M8" s="16" t="n">
        <f aca="false">IF(AND(J8&lt;=0,I8&lt;&gt;""),I8-D8,"")</f>
        <v>50</v>
      </c>
    </row>
    <row r="9" customFormat="false" ht="15" hidden="false" customHeight="false" outlineLevel="0" collapsed="false">
      <c r="A9" s="17" t="s">
        <v>102</v>
      </c>
      <c r="B9" s="17" t="s">
        <v>67</v>
      </c>
      <c r="C9" s="19" t="str">
        <f aca="false">INDEX(Customers!$B$2:$B$11,MATCH(B9,Customers!$A$2:$A$11,0))</f>
        <v>BlueWave Telecom</v>
      </c>
      <c r="D9" s="20" t="n">
        <v>45854</v>
      </c>
      <c r="E9" s="19" t="n">
        <f aca="false">INDEX(Customers!$D$2:$D$11,MATCH(B9,Customers!$A$2:$A$11,0))</f>
        <v>45</v>
      </c>
      <c r="F9" s="21" t="n">
        <f aca="false">D9+E9</f>
        <v>45899</v>
      </c>
      <c r="G9" s="18" t="n">
        <v>16240</v>
      </c>
      <c r="H9" s="18" t="n">
        <v>16240</v>
      </c>
      <c r="I9" s="20" t="n">
        <v>45901</v>
      </c>
      <c r="J9" s="22" t="n">
        <f aca="false">G9-H9</f>
        <v>0</v>
      </c>
      <c r="K9" s="16" t="n">
        <f aca="false">IF(AND(J9&gt;0,Assumptions!$B$2&gt;F9),Assumptions!$B$2-F9,0)</f>
        <v>0</v>
      </c>
      <c r="L9" s="16" t="str">
        <f aca="false">IF(J9&lt;=0,"Paid",IF(K9=0,"Not due",IF(K9&lt;=30,"1-30",IF(K9&lt;=60,"31-60",IF(K9&lt;=90,"61-90","90+")))))</f>
        <v>Paid</v>
      </c>
      <c r="M9" s="16" t="n">
        <f aca="false">IF(AND(J9&lt;=0,I9&lt;&gt;""),I9-D9,"")</f>
        <v>47</v>
      </c>
    </row>
    <row r="10" customFormat="false" ht="15" hidden="false" customHeight="false" outlineLevel="0" collapsed="false">
      <c r="A10" s="17" t="s">
        <v>103</v>
      </c>
      <c r="B10" s="17" t="s">
        <v>82</v>
      </c>
      <c r="C10" s="19" t="str">
        <f aca="false">INDEX(Customers!$B$2:$B$11,MATCH(B10,Customers!$A$2:$A$11,0))</f>
        <v>Oasis Retail Group</v>
      </c>
      <c r="D10" s="20" t="n">
        <v>45857</v>
      </c>
      <c r="E10" s="19" t="n">
        <f aca="false">INDEX(Customers!$D$2:$D$11,MATCH(B10,Customers!$A$2:$A$11,0))</f>
        <v>30</v>
      </c>
      <c r="F10" s="21" t="n">
        <f aca="false">D10+E10</f>
        <v>45887</v>
      </c>
      <c r="G10" s="18" t="n">
        <v>35180</v>
      </c>
      <c r="H10" s="18" t="n">
        <v>35180</v>
      </c>
      <c r="I10" s="20" t="n">
        <v>45887</v>
      </c>
      <c r="J10" s="22" t="n">
        <f aca="false">G10-H10</f>
        <v>0</v>
      </c>
      <c r="K10" s="16" t="n">
        <f aca="false">IF(AND(J10&gt;0,Assumptions!$B$2&gt;F10),Assumptions!$B$2-F10,0)</f>
        <v>0</v>
      </c>
      <c r="L10" s="16" t="str">
        <f aca="false">IF(J10&lt;=0,"Paid",IF(K10=0,"Not due",IF(K10&lt;=30,"1-30",IF(K10&lt;=60,"31-60",IF(K10&lt;=90,"61-90","90+")))))</f>
        <v>Paid</v>
      </c>
      <c r="M10" s="16" t="n">
        <f aca="false">IF(AND(J10&lt;=0,I10&lt;&gt;""),I10-D10,"")</f>
        <v>30</v>
      </c>
    </row>
    <row r="11" customFormat="false" ht="15" hidden="false" customHeight="false" outlineLevel="0" collapsed="false">
      <c r="A11" s="17" t="s">
        <v>104</v>
      </c>
      <c r="B11" s="17" t="s">
        <v>64</v>
      </c>
      <c r="C11" s="19" t="str">
        <f aca="false">INDEX(Customers!$B$2:$B$11,MATCH(B11,Customers!$A$2:$A$11,0))</f>
        <v>Desert Logistics</v>
      </c>
      <c r="D11" s="20" t="n">
        <v>45860</v>
      </c>
      <c r="E11" s="19" t="n">
        <f aca="false">INDEX(Customers!$D$2:$D$11,MATCH(B11,Customers!$A$2:$A$11,0))</f>
        <v>30</v>
      </c>
      <c r="F11" s="21" t="n">
        <f aca="false">D11+E11</f>
        <v>45890</v>
      </c>
      <c r="G11" s="18" t="n">
        <v>11810</v>
      </c>
      <c r="H11" s="18" t="n">
        <v>11810</v>
      </c>
      <c r="I11" s="20" t="n">
        <v>45901</v>
      </c>
      <c r="J11" s="22" t="n">
        <f aca="false">G11-H11</f>
        <v>0</v>
      </c>
      <c r="K11" s="16" t="n">
        <f aca="false">IF(AND(J11&gt;0,Assumptions!$B$2&gt;F11),Assumptions!$B$2-F11,0)</f>
        <v>0</v>
      </c>
      <c r="L11" s="16" t="str">
        <f aca="false">IF(J11&lt;=0,"Paid",IF(K11=0,"Not due",IF(K11&lt;=30,"1-30",IF(K11&lt;=60,"31-60",IF(K11&lt;=90,"61-90","90+")))))</f>
        <v>Paid</v>
      </c>
      <c r="M11" s="16" t="n">
        <f aca="false">IF(AND(J11&lt;=0,I11&lt;&gt;""),I11-D11,"")</f>
        <v>41</v>
      </c>
    </row>
    <row r="12" customFormat="false" ht="15" hidden="false" customHeight="false" outlineLevel="0" collapsed="false">
      <c r="A12" s="17" t="s">
        <v>105</v>
      </c>
      <c r="B12" s="17" t="s">
        <v>73</v>
      </c>
      <c r="C12" s="19" t="str">
        <f aca="false">INDEX(Customers!$B$2:$B$11,MATCH(B12,Customers!$A$2:$A$11,0))</f>
        <v>Sunrise Facilities</v>
      </c>
      <c r="D12" s="20" t="n">
        <v>45863</v>
      </c>
      <c r="E12" s="19" t="n">
        <f aca="false">INDEX(Customers!$D$2:$D$11,MATCH(B12,Customers!$A$2:$A$11,0))</f>
        <v>30</v>
      </c>
      <c r="F12" s="21" t="n">
        <f aca="false">D12+E12</f>
        <v>45893</v>
      </c>
      <c r="G12" s="18" t="n">
        <v>6070</v>
      </c>
      <c r="H12" s="18" t="n">
        <v>3640</v>
      </c>
      <c r="I12" s="20" t="n">
        <v>45888</v>
      </c>
      <c r="J12" s="22" t="n">
        <f aca="false">G12-H12</f>
        <v>2430</v>
      </c>
      <c r="K12" s="16" t="n">
        <f aca="false">IF(AND(J12&gt;0,Assumptions!$B$2&gt;F12),Assumptions!$B$2-F12,0)</f>
        <v>129</v>
      </c>
      <c r="L12" s="16" t="str">
        <f aca="false">IF(J12&lt;=0,"Paid",IF(K12=0,"Not due",IF(K12&lt;=30,"1-30",IF(K12&lt;=60,"31-60",IF(K12&lt;=90,"61-90","90+")))))</f>
        <v>90+</v>
      </c>
      <c r="M12" s="16" t="str">
        <f aca="false">IF(AND(J12&lt;=0,I12&lt;&gt;""),I12-D12,"")</f>
        <v/>
      </c>
    </row>
    <row r="13" customFormat="false" ht="15" hidden="false" customHeight="false" outlineLevel="0" collapsed="false">
      <c r="A13" s="17" t="s">
        <v>106</v>
      </c>
      <c r="B13" s="17" t="s">
        <v>55</v>
      </c>
      <c r="C13" s="19" t="str">
        <f aca="false">INDEX(Customers!$B$2:$B$11,MATCH(B13,Customers!$A$2:$A$11,0))</f>
        <v>Al Noor Construction</v>
      </c>
      <c r="D13" s="20" t="n">
        <v>45863</v>
      </c>
      <c r="E13" s="19" t="n">
        <f aca="false">INDEX(Customers!$D$2:$D$11,MATCH(B13,Customers!$A$2:$A$11,0))</f>
        <v>30</v>
      </c>
      <c r="F13" s="21" t="n">
        <f aca="false">D13+E13</f>
        <v>45893</v>
      </c>
      <c r="G13" s="18" t="n">
        <v>43490</v>
      </c>
      <c r="H13" s="18" t="n">
        <v>21740</v>
      </c>
      <c r="I13" s="20" t="n">
        <v>45888</v>
      </c>
      <c r="J13" s="22" t="n">
        <f aca="false">G13-H13</f>
        <v>21750</v>
      </c>
      <c r="K13" s="16" t="n">
        <f aca="false">IF(AND(J13&gt;0,Assumptions!$B$2&gt;F13),Assumptions!$B$2-F13,0)</f>
        <v>129</v>
      </c>
      <c r="L13" s="16" t="str">
        <f aca="false">IF(J13&lt;=0,"Paid",IF(K13=0,"Not due",IF(K13&lt;=30,"1-30",IF(K13&lt;=60,"31-60",IF(K13&lt;=90,"61-90","90+")))))</f>
        <v>90+</v>
      </c>
      <c r="M13" s="16" t="str">
        <f aca="false">IF(AND(J13&lt;=0,I13&lt;&gt;""),I13-D13,"")</f>
        <v/>
      </c>
    </row>
    <row r="14" customFormat="false" ht="15" hidden="false" customHeight="false" outlineLevel="0" collapsed="false">
      <c r="A14" s="17" t="s">
        <v>107</v>
      </c>
      <c r="B14" s="17" t="s">
        <v>55</v>
      </c>
      <c r="C14" s="19" t="str">
        <f aca="false">INDEX(Customers!$B$2:$B$11,MATCH(B14,Customers!$A$2:$A$11,0))</f>
        <v>Al Noor Construction</v>
      </c>
      <c r="D14" s="20" t="n">
        <v>45866</v>
      </c>
      <c r="E14" s="19" t="n">
        <f aca="false">INDEX(Customers!$D$2:$D$11,MATCH(B14,Customers!$A$2:$A$11,0))</f>
        <v>30</v>
      </c>
      <c r="F14" s="21" t="n">
        <f aca="false">D14+E14</f>
        <v>45896</v>
      </c>
      <c r="G14" s="18" t="n">
        <v>5520</v>
      </c>
      <c r="H14" s="18" t="n">
        <v>5520</v>
      </c>
      <c r="I14" s="20" t="n">
        <v>45902</v>
      </c>
      <c r="J14" s="22" t="n">
        <f aca="false">G14-H14</f>
        <v>0</v>
      </c>
      <c r="K14" s="16" t="n">
        <f aca="false">IF(AND(J14&gt;0,Assumptions!$B$2&gt;F14),Assumptions!$B$2-F14,0)</f>
        <v>0</v>
      </c>
      <c r="L14" s="16" t="str">
        <f aca="false">IF(J14&lt;=0,"Paid",IF(K14=0,"Not due",IF(K14&lt;=30,"1-30",IF(K14&lt;=60,"31-60",IF(K14&lt;=90,"61-90","90+")))))</f>
        <v>Paid</v>
      </c>
      <c r="M14" s="16" t="n">
        <f aca="false">IF(AND(J14&lt;=0,I14&lt;&gt;""),I14-D14,"")</f>
        <v>36</v>
      </c>
    </row>
    <row r="15" customFormat="false" ht="15" hidden="false" customHeight="false" outlineLevel="0" collapsed="false">
      <c r="A15" s="17" t="s">
        <v>108</v>
      </c>
      <c r="B15" s="17" t="s">
        <v>61</v>
      </c>
      <c r="C15" s="19" t="str">
        <f aca="false">INDEX(Customers!$B$2:$B$11,MATCH(B15,Customers!$A$2:$A$11,0))</f>
        <v>Metro Utilities Co</v>
      </c>
      <c r="D15" s="20" t="n">
        <v>45869</v>
      </c>
      <c r="E15" s="19" t="n">
        <f aca="false">INDEX(Customers!$D$2:$D$11,MATCH(B15,Customers!$A$2:$A$11,0))</f>
        <v>60</v>
      </c>
      <c r="F15" s="21" t="n">
        <f aca="false">D15+E15</f>
        <v>45929</v>
      </c>
      <c r="G15" s="18" t="n">
        <v>20610</v>
      </c>
      <c r="H15" s="18" t="n">
        <v>20610</v>
      </c>
      <c r="I15" s="20" t="n">
        <v>45949</v>
      </c>
      <c r="J15" s="22" t="n">
        <f aca="false">G15-H15</f>
        <v>0</v>
      </c>
      <c r="K15" s="16" t="n">
        <f aca="false">IF(AND(J15&gt;0,Assumptions!$B$2&gt;F15),Assumptions!$B$2-F15,0)</f>
        <v>0</v>
      </c>
      <c r="L15" s="16" t="str">
        <f aca="false">IF(J15&lt;=0,"Paid",IF(K15=0,"Not due",IF(K15&lt;=30,"1-30",IF(K15&lt;=60,"31-60",IF(K15&lt;=90,"61-90","90+")))))</f>
        <v>Paid</v>
      </c>
      <c r="M15" s="16" t="n">
        <f aca="false">IF(AND(J15&lt;=0,I15&lt;&gt;""),I15-D15,"")</f>
        <v>80</v>
      </c>
    </row>
    <row r="16" customFormat="false" ht="15" hidden="false" customHeight="false" outlineLevel="0" collapsed="false">
      <c r="A16" s="17" t="s">
        <v>109</v>
      </c>
      <c r="B16" s="17" t="s">
        <v>55</v>
      </c>
      <c r="C16" s="19" t="str">
        <f aca="false">INDEX(Customers!$B$2:$B$11,MATCH(B16,Customers!$A$2:$A$11,0))</f>
        <v>Al Noor Construction</v>
      </c>
      <c r="D16" s="20" t="n">
        <v>45872</v>
      </c>
      <c r="E16" s="19" t="n">
        <f aca="false">INDEX(Customers!$D$2:$D$11,MATCH(B16,Customers!$A$2:$A$11,0))</f>
        <v>30</v>
      </c>
      <c r="F16" s="21" t="n">
        <f aca="false">D16+E16</f>
        <v>45902</v>
      </c>
      <c r="G16" s="18" t="n">
        <v>14330</v>
      </c>
      <c r="H16" s="18" t="n">
        <v>14330</v>
      </c>
      <c r="I16" s="20" t="n">
        <v>45921</v>
      </c>
      <c r="J16" s="22" t="n">
        <f aca="false">G16-H16</f>
        <v>0</v>
      </c>
      <c r="K16" s="16" t="n">
        <f aca="false">IF(AND(J16&gt;0,Assumptions!$B$2&gt;F16),Assumptions!$B$2-F16,0)</f>
        <v>0</v>
      </c>
      <c r="L16" s="16" t="str">
        <f aca="false">IF(J16&lt;=0,"Paid",IF(K16=0,"Not due",IF(K16&lt;=30,"1-30",IF(K16&lt;=60,"31-60",IF(K16&lt;=90,"61-90","90+")))))</f>
        <v>Paid</v>
      </c>
      <c r="M16" s="16" t="n">
        <f aca="false">IF(AND(J16&lt;=0,I16&lt;&gt;""),I16-D16,"")</f>
        <v>49</v>
      </c>
    </row>
    <row r="17" customFormat="false" ht="15" hidden="false" customHeight="false" outlineLevel="0" collapsed="false">
      <c r="A17" s="17" t="s">
        <v>110</v>
      </c>
      <c r="B17" s="17" t="s">
        <v>61</v>
      </c>
      <c r="C17" s="19" t="str">
        <f aca="false">INDEX(Customers!$B$2:$B$11,MATCH(B17,Customers!$A$2:$A$11,0))</f>
        <v>Metro Utilities Co</v>
      </c>
      <c r="D17" s="20" t="n">
        <v>45875</v>
      </c>
      <c r="E17" s="19" t="n">
        <f aca="false">INDEX(Customers!$D$2:$D$11,MATCH(B17,Customers!$A$2:$A$11,0))</f>
        <v>60</v>
      </c>
      <c r="F17" s="21" t="n">
        <f aca="false">D17+E17</f>
        <v>45935</v>
      </c>
      <c r="G17" s="18" t="n">
        <v>19560</v>
      </c>
      <c r="H17" s="18" t="n">
        <v>19560</v>
      </c>
      <c r="I17" s="20" t="n">
        <v>45957</v>
      </c>
      <c r="J17" s="22" t="n">
        <f aca="false">G17-H17</f>
        <v>0</v>
      </c>
      <c r="K17" s="16" t="n">
        <f aca="false">IF(AND(J17&gt;0,Assumptions!$B$2&gt;F17),Assumptions!$B$2-F17,0)</f>
        <v>0</v>
      </c>
      <c r="L17" s="16" t="str">
        <f aca="false">IF(J17&lt;=0,"Paid",IF(K17=0,"Not due",IF(K17&lt;=30,"1-30",IF(K17&lt;=60,"31-60",IF(K17&lt;=90,"61-90","90+")))))</f>
        <v>Paid</v>
      </c>
      <c r="M17" s="16" t="n">
        <f aca="false">IF(AND(J17&lt;=0,I17&lt;&gt;""),I17-D17,"")</f>
        <v>82</v>
      </c>
    </row>
    <row r="18" customFormat="false" ht="15" hidden="false" customHeight="false" outlineLevel="0" collapsed="false">
      <c r="A18" s="17" t="s">
        <v>111</v>
      </c>
      <c r="B18" s="17" t="s">
        <v>55</v>
      </c>
      <c r="C18" s="19" t="str">
        <f aca="false">INDEX(Customers!$B$2:$B$11,MATCH(B18,Customers!$A$2:$A$11,0))</f>
        <v>Al Noor Construction</v>
      </c>
      <c r="D18" s="20" t="n">
        <v>45878</v>
      </c>
      <c r="E18" s="19" t="n">
        <f aca="false">INDEX(Customers!$D$2:$D$11,MATCH(B18,Customers!$A$2:$A$11,0))</f>
        <v>30</v>
      </c>
      <c r="F18" s="21" t="n">
        <f aca="false">D18+E18</f>
        <v>45908</v>
      </c>
      <c r="G18" s="18" t="n">
        <v>44550</v>
      </c>
      <c r="H18" s="18" t="n">
        <v>44550</v>
      </c>
      <c r="I18" s="20" t="n">
        <v>45914</v>
      </c>
      <c r="J18" s="22" t="n">
        <f aca="false">G18-H18</f>
        <v>0</v>
      </c>
      <c r="K18" s="16" t="n">
        <f aca="false">IF(AND(J18&gt;0,Assumptions!$B$2&gt;F18),Assumptions!$B$2-F18,0)</f>
        <v>0</v>
      </c>
      <c r="L18" s="16" t="str">
        <f aca="false">IF(J18&lt;=0,"Paid",IF(K18=0,"Not due",IF(K18&lt;=30,"1-30",IF(K18&lt;=60,"31-60",IF(K18&lt;=90,"61-90","90+")))))</f>
        <v>Paid</v>
      </c>
      <c r="M18" s="16" t="n">
        <f aca="false">IF(AND(J18&lt;=0,I18&lt;&gt;""),I18-D18,"")</f>
        <v>36</v>
      </c>
    </row>
    <row r="19" customFormat="false" ht="15" hidden="false" customHeight="false" outlineLevel="0" collapsed="false">
      <c r="A19" s="17" t="s">
        <v>112</v>
      </c>
      <c r="B19" s="17" t="s">
        <v>73</v>
      </c>
      <c r="C19" s="19" t="str">
        <f aca="false">INDEX(Customers!$B$2:$B$11,MATCH(B19,Customers!$A$2:$A$11,0))</f>
        <v>Sunrise Facilities</v>
      </c>
      <c r="D19" s="20" t="n">
        <v>45881</v>
      </c>
      <c r="E19" s="19" t="n">
        <f aca="false">INDEX(Customers!$D$2:$D$11,MATCH(B19,Customers!$A$2:$A$11,0))</f>
        <v>30</v>
      </c>
      <c r="F19" s="21" t="n">
        <f aca="false">D19+E19</f>
        <v>45911</v>
      </c>
      <c r="G19" s="18" t="n">
        <v>6080</v>
      </c>
      <c r="H19" s="18" t="n">
        <v>6080</v>
      </c>
      <c r="I19" s="20" t="n">
        <v>45917</v>
      </c>
      <c r="J19" s="22" t="n">
        <f aca="false">G19-H19</f>
        <v>0</v>
      </c>
      <c r="K19" s="16" t="n">
        <f aca="false">IF(AND(J19&gt;0,Assumptions!$B$2&gt;F19),Assumptions!$B$2-F19,0)</f>
        <v>0</v>
      </c>
      <c r="L19" s="16" t="str">
        <f aca="false">IF(J19&lt;=0,"Paid",IF(K19=0,"Not due",IF(K19&lt;=30,"1-30",IF(K19&lt;=60,"31-60",IF(K19&lt;=90,"61-90","90+")))))</f>
        <v>Paid</v>
      </c>
      <c r="M19" s="16" t="n">
        <f aca="false">IF(AND(J19&lt;=0,I19&lt;&gt;""),I19-D19,"")</f>
        <v>36</v>
      </c>
    </row>
    <row r="20" customFormat="false" ht="15" hidden="false" customHeight="false" outlineLevel="0" collapsed="false">
      <c r="A20" s="17" t="s">
        <v>113</v>
      </c>
      <c r="B20" s="17" t="s">
        <v>64</v>
      </c>
      <c r="C20" s="19" t="str">
        <f aca="false">INDEX(Customers!$B$2:$B$11,MATCH(B20,Customers!$A$2:$A$11,0))</f>
        <v>Desert Logistics</v>
      </c>
      <c r="D20" s="20" t="n">
        <v>45881</v>
      </c>
      <c r="E20" s="19" t="n">
        <f aca="false">INDEX(Customers!$D$2:$D$11,MATCH(B20,Customers!$A$2:$A$11,0))</f>
        <v>30</v>
      </c>
      <c r="F20" s="21" t="n">
        <f aca="false">D20+E20</f>
        <v>45911</v>
      </c>
      <c r="G20" s="18" t="n">
        <v>3650</v>
      </c>
      <c r="H20" s="18" t="n">
        <v>3650</v>
      </c>
      <c r="I20" s="20" t="n">
        <v>45906</v>
      </c>
      <c r="J20" s="22" t="n">
        <f aca="false">G20-H20</f>
        <v>0</v>
      </c>
      <c r="K20" s="16" t="n">
        <f aca="false">IF(AND(J20&gt;0,Assumptions!$B$2&gt;F20),Assumptions!$B$2-F20,0)</f>
        <v>0</v>
      </c>
      <c r="L20" s="16" t="str">
        <f aca="false">IF(J20&lt;=0,"Paid",IF(K20=0,"Not due",IF(K20&lt;=30,"1-30",IF(K20&lt;=60,"31-60",IF(K20&lt;=90,"61-90","90+")))))</f>
        <v>Paid</v>
      </c>
      <c r="M20" s="16" t="n">
        <f aca="false">IF(AND(J20&lt;=0,I20&lt;&gt;""),I20-D20,"")</f>
        <v>25</v>
      </c>
    </row>
    <row r="21" customFormat="false" ht="15" hidden="false" customHeight="false" outlineLevel="0" collapsed="false">
      <c r="A21" s="17" t="s">
        <v>114</v>
      </c>
      <c r="B21" s="17" t="s">
        <v>73</v>
      </c>
      <c r="C21" s="19" t="str">
        <f aca="false">INDEX(Customers!$B$2:$B$11,MATCH(B21,Customers!$A$2:$A$11,0))</f>
        <v>Sunrise Facilities</v>
      </c>
      <c r="D21" s="20" t="n">
        <v>45884</v>
      </c>
      <c r="E21" s="19" t="n">
        <f aca="false">INDEX(Customers!$D$2:$D$11,MATCH(B21,Customers!$A$2:$A$11,0))</f>
        <v>30</v>
      </c>
      <c r="F21" s="21" t="n">
        <f aca="false">D21+E21</f>
        <v>45914</v>
      </c>
      <c r="G21" s="18" t="n">
        <v>10680</v>
      </c>
      <c r="H21" s="18" t="n">
        <v>10680</v>
      </c>
      <c r="I21" s="20" t="n">
        <v>45922</v>
      </c>
      <c r="J21" s="22" t="n">
        <f aca="false">G21-H21</f>
        <v>0</v>
      </c>
      <c r="K21" s="16" t="n">
        <f aca="false">IF(AND(J21&gt;0,Assumptions!$B$2&gt;F21),Assumptions!$B$2-F21,0)</f>
        <v>0</v>
      </c>
      <c r="L21" s="16" t="str">
        <f aca="false">IF(J21&lt;=0,"Paid",IF(K21=0,"Not due",IF(K21&lt;=30,"1-30",IF(K21&lt;=60,"31-60",IF(K21&lt;=90,"61-90","90+")))))</f>
        <v>Paid</v>
      </c>
      <c r="M21" s="16" t="n">
        <f aca="false">IF(AND(J21&lt;=0,I21&lt;&gt;""),I21-D21,"")</f>
        <v>38</v>
      </c>
    </row>
    <row r="22" customFormat="false" ht="15" hidden="false" customHeight="false" outlineLevel="0" collapsed="false">
      <c r="A22" s="17" t="s">
        <v>115</v>
      </c>
      <c r="B22" s="17" t="s">
        <v>64</v>
      </c>
      <c r="C22" s="19" t="str">
        <f aca="false">INDEX(Customers!$B$2:$B$11,MATCH(B22,Customers!$A$2:$A$11,0))</f>
        <v>Desert Logistics</v>
      </c>
      <c r="D22" s="20" t="n">
        <v>45887</v>
      </c>
      <c r="E22" s="19" t="n">
        <f aca="false">INDEX(Customers!$D$2:$D$11,MATCH(B22,Customers!$A$2:$A$11,0))</f>
        <v>30</v>
      </c>
      <c r="F22" s="21" t="n">
        <f aca="false">D22+E22</f>
        <v>45917</v>
      </c>
      <c r="G22" s="18" t="n">
        <v>9660</v>
      </c>
      <c r="H22" s="18" t="n">
        <v>9660</v>
      </c>
      <c r="I22" s="20" t="n">
        <v>45912</v>
      </c>
      <c r="J22" s="22" t="n">
        <f aca="false">G22-H22</f>
        <v>0</v>
      </c>
      <c r="K22" s="16" t="n">
        <f aca="false">IF(AND(J22&gt;0,Assumptions!$B$2&gt;F22),Assumptions!$B$2-F22,0)</f>
        <v>0</v>
      </c>
      <c r="L22" s="16" t="str">
        <f aca="false">IF(J22&lt;=0,"Paid",IF(K22=0,"Not due",IF(K22&lt;=30,"1-30",IF(K22&lt;=60,"31-60",IF(K22&lt;=90,"61-90","90+")))))</f>
        <v>Paid</v>
      </c>
      <c r="M22" s="16" t="n">
        <f aca="false">IF(AND(J22&lt;=0,I22&lt;&gt;""),I22-D22,"")</f>
        <v>25</v>
      </c>
    </row>
    <row r="23" customFormat="false" ht="15" hidden="false" customHeight="false" outlineLevel="0" collapsed="false">
      <c r="A23" s="17" t="s">
        <v>116</v>
      </c>
      <c r="B23" s="17" t="s">
        <v>82</v>
      </c>
      <c r="C23" s="19" t="str">
        <f aca="false">INDEX(Customers!$B$2:$B$11,MATCH(B23,Customers!$A$2:$A$11,0))</f>
        <v>Oasis Retail Group</v>
      </c>
      <c r="D23" s="20" t="n">
        <v>45890</v>
      </c>
      <c r="E23" s="19" t="n">
        <f aca="false">INDEX(Customers!$D$2:$D$11,MATCH(B23,Customers!$A$2:$A$11,0))</f>
        <v>30</v>
      </c>
      <c r="F23" s="21" t="n">
        <f aca="false">D23+E23</f>
        <v>45920</v>
      </c>
      <c r="G23" s="18" t="n">
        <v>6300</v>
      </c>
      <c r="H23" s="18" t="n">
        <v>4720</v>
      </c>
      <c r="I23" s="20" t="n">
        <v>45924</v>
      </c>
      <c r="J23" s="22" t="n">
        <f aca="false">G23-H23</f>
        <v>1580</v>
      </c>
      <c r="K23" s="16" t="n">
        <f aca="false">IF(AND(J23&gt;0,Assumptions!$B$2&gt;F23),Assumptions!$B$2-F23,0)</f>
        <v>102</v>
      </c>
      <c r="L23" s="16" t="str">
        <f aca="false">IF(J23&lt;=0,"Paid",IF(K23=0,"Not due",IF(K23&lt;=30,"1-30",IF(K23&lt;=60,"31-60",IF(K23&lt;=90,"61-90","90+")))))</f>
        <v>90+</v>
      </c>
      <c r="M23" s="16" t="str">
        <f aca="false">IF(AND(J23&lt;=0,I23&lt;&gt;""),I23-D23,"")</f>
        <v/>
      </c>
    </row>
    <row r="24" customFormat="false" ht="15" hidden="false" customHeight="false" outlineLevel="0" collapsed="false">
      <c r="A24" s="17" t="s">
        <v>117</v>
      </c>
      <c r="B24" s="17" t="s">
        <v>67</v>
      </c>
      <c r="C24" s="19" t="str">
        <f aca="false">INDEX(Customers!$B$2:$B$11,MATCH(B24,Customers!$A$2:$A$11,0))</f>
        <v>BlueWave Telecom</v>
      </c>
      <c r="D24" s="20" t="n">
        <v>45890</v>
      </c>
      <c r="E24" s="19" t="n">
        <f aca="false">INDEX(Customers!$D$2:$D$11,MATCH(B24,Customers!$A$2:$A$11,0))</f>
        <v>45</v>
      </c>
      <c r="F24" s="21" t="n">
        <f aca="false">D24+E24</f>
        <v>45935</v>
      </c>
      <c r="G24" s="18" t="n">
        <v>13010</v>
      </c>
      <c r="H24" s="18" t="n">
        <v>13010</v>
      </c>
      <c r="I24" s="20" t="n">
        <v>45943</v>
      </c>
      <c r="J24" s="22" t="n">
        <f aca="false">G24-H24</f>
        <v>0</v>
      </c>
      <c r="K24" s="16" t="n">
        <f aca="false">IF(AND(J24&gt;0,Assumptions!$B$2&gt;F24),Assumptions!$B$2-F24,0)</f>
        <v>0</v>
      </c>
      <c r="L24" s="16" t="str">
        <f aca="false">IF(J24&lt;=0,"Paid",IF(K24=0,"Not due",IF(K24&lt;=30,"1-30",IF(K24&lt;=60,"31-60",IF(K24&lt;=90,"61-90","90+")))))</f>
        <v>Paid</v>
      </c>
      <c r="M24" s="16" t="n">
        <f aca="false">IF(AND(J24&lt;=0,I24&lt;&gt;""),I24-D24,"")</f>
        <v>53</v>
      </c>
    </row>
    <row r="25" customFormat="false" ht="15" hidden="false" customHeight="false" outlineLevel="0" collapsed="false">
      <c r="A25" s="17" t="s">
        <v>118</v>
      </c>
      <c r="B25" s="17" t="s">
        <v>79</v>
      </c>
      <c r="C25" s="19" t="str">
        <f aca="false">INDEX(Customers!$B$2:$B$11,MATCH(B25,Customers!$A$2:$A$11,0))</f>
        <v>Prime Events</v>
      </c>
      <c r="D25" s="20" t="n">
        <v>45893</v>
      </c>
      <c r="E25" s="19" t="n">
        <f aca="false">INDEX(Customers!$D$2:$D$11,MATCH(B25,Customers!$A$2:$A$11,0))</f>
        <v>15</v>
      </c>
      <c r="F25" s="21" t="n">
        <f aca="false">D25+E25</f>
        <v>45908</v>
      </c>
      <c r="G25" s="18" t="n">
        <v>10370</v>
      </c>
      <c r="H25" s="18" t="n">
        <v>5180</v>
      </c>
      <c r="I25" s="20" t="n">
        <v>45906</v>
      </c>
      <c r="J25" s="22" t="n">
        <f aca="false">G25-H25</f>
        <v>5190</v>
      </c>
      <c r="K25" s="16" t="n">
        <f aca="false">IF(AND(J25&gt;0,Assumptions!$B$2&gt;F25),Assumptions!$B$2-F25,0)</f>
        <v>114</v>
      </c>
      <c r="L25" s="16" t="str">
        <f aca="false">IF(J25&lt;=0,"Paid",IF(K25=0,"Not due",IF(K25&lt;=30,"1-30",IF(K25&lt;=60,"31-60",IF(K25&lt;=90,"61-90","90+")))))</f>
        <v>90+</v>
      </c>
      <c r="M25" s="16" t="str">
        <f aca="false">IF(AND(J25&lt;=0,I25&lt;&gt;""),I25-D25,"")</f>
        <v/>
      </c>
    </row>
    <row r="26" customFormat="false" ht="15" hidden="false" customHeight="false" outlineLevel="0" collapsed="false">
      <c r="A26" s="17" t="s">
        <v>119</v>
      </c>
      <c r="B26" s="17" t="s">
        <v>76</v>
      </c>
      <c r="C26" s="19" t="str">
        <f aca="false">INDEX(Customers!$B$2:$B$11,MATCH(B26,Customers!$A$2:$A$11,0))</f>
        <v>Coastal Roads Authority</v>
      </c>
      <c r="D26" s="20" t="n">
        <v>45893</v>
      </c>
      <c r="E26" s="19" t="n">
        <f aca="false">INDEX(Customers!$D$2:$D$11,MATCH(B26,Customers!$A$2:$A$11,0))</f>
        <v>90</v>
      </c>
      <c r="F26" s="21" t="n">
        <f aca="false">D26+E26</f>
        <v>45983</v>
      </c>
      <c r="G26" s="18" t="n">
        <v>26490</v>
      </c>
      <c r="H26" s="18" t="n">
        <v>0</v>
      </c>
      <c r="I26" s="20"/>
      <c r="J26" s="22" t="n">
        <f aca="false">G26-H26</f>
        <v>26490</v>
      </c>
      <c r="K26" s="16" t="n">
        <f aca="false">IF(AND(J26&gt;0,Assumptions!$B$2&gt;F26),Assumptions!$B$2-F26,0)</f>
        <v>39</v>
      </c>
      <c r="L26" s="16" t="str">
        <f aca="false">IF(J26&lt;=0,"Paid",IF(K26=0,"Not due",IF(K26&lt;=30,"1-30",IF(K26&lt;=60,"31-60",IF(K26&lt;=90,"61-90","90+")))))</f>
        <v>31-60</v>
      </c>
      <c r="M26" s="16" t="str">
        <f aca="false">IF(AND(J26&lt;=0,I26&lt;&gt;""),I26-D26,"")</f>
        <v/>
      </c>
    </row>
    <row r="27" customFormat="false" ht="15" hidden="false" customHeight="false" outlineLevel="0" collapsed="false">
      <c r="A27" s="17" t="s">
        <v>120</v>
      </c>
      <c r="B27" s="17" t="s">
        <v>64</v>
      </c>
      <c r="C27" s="19" t="str">
        <f aca="false">INDEX(Customers!$B$2:$B$11,MATCH(B27,Customers!$A$2:$A$11,0))</f>
        <v>Desert Logistics</v>
      </c>
      <c r="D27" s="20" t="n">
        <v>45896</v>
      </c>
      <c r="E27" s="19" t="n">
        <f aca="false">INDEX(Customers!$D$2:$D$11,MATCH(B27,Customers!$A$2:$A$11,0))</f>
        <v>30</v>
      </c>
      <c r="F27" s="21" t="n">
        <f aca="false">D27+E27</f>
        <v>45926</v>
      </c>
      <c r="G27" s="18" t="n">
        <v>41530</v>
      </c>
      <c r="H27" s="18" t="n">
        <v>24920</v>
      </c>
      <c r="I27" s="20" t="n">
        <v>45921</v>
      </c>
      <c r="J27" s="22" t="n">
        <f aca="false">G27-H27</f>
        <v>16610</v>
      </c>
      <c r="K27" s="16" t="n">
        <f aca="false">IF(AND(J27&gt;0,Assumptions!$B$2&gt;F27),Assumptions!$B$2-F27,0)</f>
        <v>96</v>
      </c>
      <c r="L27" s="16" t="str">
        <f aca="false">IF(J27&lt;=0,"Paid",IF(K27=0,"Not due",IF(K27&lt;=30,"1-30",IF(K27&lt;=60,"31-60",IF(K27&lt;=90,"61-90","90+")))))</f>
        <v>90+</v>
      </c>
      <c r="M27" s="16" t="str">
        <f aca="false">IF(AND(J27&lt;=0,I27&lt;&gt;""),I27-D27,"")</f>
        <v/>
      </c>
    </row>
    <row r="28" customFormat="false" ht="15" hidden="false" customHeight="false" outlineLevel="0" collapsed="false">
      <c r="A28" s="17" t="s">
        <v>121</v>
      </c>
      <c r="B28" s="17" t="s">
        <v>73</v>
      </c>
      <c r="C28" s="19" t="str">
        <f aca="false">INDEX(Customers!$B$2:$B$11,MATCH(B28,Customers!$A$2:$A$11,0))</f>
        <v>Sunrise Facilities</v>
      </c>
      <c r="D28" s="20" t="n">
        <v>45896</v>
      </c>
      <c r="E28" s="19" t="n">
        <f aca="false">INDEX(Customers!$D$2:$D$11,MATCH(B28,Customers!$A$2:$A$11,0))</f>
        <v>30</v>
      </c>
      <c r="F28" s="21" t="n">
        <f aca="false">D28+E28</f>
        <v>45926</v>
      </c>
      <c r="G28" s="18" t="n">
        <v>21720</v>
      </c>
      <c r="H28" s="18" t="n">
        <v>21720</v>
      </c>
      <c r="I28" s="20" t="n">
        <v>45930</v>
      </c>
      <c r="J28" s="22" t="n">
        <f aca="false">G28-H28</f>
        <v>0</v>
      </c>
      <c r="K28" s="16" t="n">
        <f aca="false">IF(AND(J28&gt;0,Assumptions!$B$2&gt;F28),Assumptions!$B$2-F28,0)</f>
        <v>0</v>
      </c>
      <c r="L28" s="16" t="str">
        <f aca="false">IF(J28&lt;=0,"Paid",IF(K28=0,"Not due",IF(K28&lt;=30,"1-30",IF(K28&lt;=60,"31-60",IF(K28&lt;=90,"61-90","90+")))))</f>
        <v>Paid</v>
      </c>
      <c r="M28" s="16" t="n">
        <f aca="false">IF(AND(J28&lt;=0,I28&lt;&gt;""),I28-D28,"")</f>
        <v>34</v>
      </c>
    </row>
    <row r="29" customFormat="false" ht="15" hidden="false" customHeight="false" outlineLevel="0" collapsed="false">
      <c r="A29" s="17" t="s">
        <v>122</v>
      </c>
      <c r="B29" s="17" t="s">
        <v>58</v>
      </c>
      <c r="C29" s="19" t="str">
        <f aca="false">INDEX(Customers!$B$2:$B$11,MATCH(B29,Customers!$A$2:$A$11,0))</f>
        <v>Gulf Infra Projects</v>
      </c>
      <c r="D29" s="20" t="n">
        <v>45899</v>
      </c>
      <c r="E29" s="19" t="n">
        <f aca="false">INDEX(Customers!$D$2:$D$11,MATCH(B29,Customers!$A$2:$A$11,0))</f>
        <v>45</v>
      </c>
      <c r="F29" s="21" t="n">
        <f aca="false">D29+E29</f>
        <v>45944</v>
      </c>
      <c r="G29" s="18" t="n">
        <v>18210</v>
      </c>
      <c r="H29" s="18" t="n">
        <v>18210</v>
      </c>
      <c r="I29" s="20" t="n">
        <v>45960</v>
      </c>
      <c r="J29" s="22" t="n">
        <f aca="false">G29-H29</f>
        <v>0</v>
      </c>
      <c r="K29" s="16" t="n">
        <f aca="false">IF(AND(J29&gt;0,Assumptions!$B$2&gt;F29),Assumptions!$B$2-F29,0)</f>
        <v>0</v>
      </c>
      <c r="L29" s="16" t="str">
        <f aca="false">IF(J29&lt;=0,"Paid",IF(K29=0,"Not due",IF(K29&lt;=30,"1-30",IF(K29&lt;=60,"31-60",IF(K29&lt;=90,"61-90","90+")))))</f>
        <v>Paid</v>
      </c>
      <c r="M29" s="16" t="n">
        <f aca="false">IF(AND(J29&lt;=0,I29&lt;&gt;""),I29-D29,"")</f>
        <v>61</v>
      </c>
    </row>
    <row r="30" customFormat="false" ht="15" hidden="false" customHeight="false" outlineLevel="0" collapsed="false">
      <c r="A30" s="17" t="s">
        <v>123</v>
      </c>
      <c r="B30" s="17" t="s">
        <v>82</v>
      </c>
      <c r="C30" s="19" t="str">
        <f aca="false">INDEX(Customers!$B$2:$B$11,MATCH(B30,Customers!$A$2:$A$11,0))</f>
        <v>Oasis Retail Group</v>
      </c>
      <c r="D30" s="20" t="n">
        <v>45902</v>
      </c>
      <c r="E30" s="19" t="n">
        <f aca="false">INDEX(Customers!$D$2:$D$11,MATCH(B30,Customers!$A$2:$A$11,0))</f>
        <v>30</v>
      </c>
      <c r="F30" s="21" t="n">
        <f aca="false">D30+E30</f>
        <v>45932</v>
      </c>
      <c r="G30" s="18" t="n">
        <v>4470</v>
      </c>
      <c r="H30" s="18" t="n">
        <v>4470</v>
      </c>
      <c r="I30" s="20" t="n">
        <v>45961</v>
      </c>
      <c r="J30" s="22" t="n">
        <f aca="false">G30-H30</f>
        <v>0</v>
      </c>
      <c r="K30" s="16" t="n">
        <f aca="false">IF(AND(J30&gt;0,Assumptions!$B$2&gt;F30),Assumptions!$B$2-F30,0)</f>
        <v>0</v>
      </c>
      <c r="L30" s="16" t="str">
        <f aca="false">IF(J30&lt;=0,"Paid",IF(K30=0,"Not due",IF(K30&lt;=30,"1-30",IF(K30&lt;=60,"31-60",IF(K30&lt;=90,"61-90","90+")))))</f>
        <v>Paid</v>
      </c>
      <c r="M30" s="16" t="n">
        <f aca="false">IF(AND(J30&lt;=0,I30&lt;&gt;""),I30-D30,"")</f>
        <v>59</v>
      </c>
    </row>
    <row r="31" customFormat="false" ht="15" hidden="false" customHeight="false" outlineLevel="0" collapsed="false">
      <c r="A31" s="17" t="s">
        <v>124</v>
      </c>
      <c r="B31" s="17" t="s">
        <v>82</v>
      </c>
      <c r="C31" s="19" t="str">
        <f aca="false">INDEX(Customers!$B$2:$B$11,MATCH(B31,Customers!$A$2:$A$11,0))</f>
        <v>Oasis Retail Group</v>
      </c>
      <c r="D31" s="20" t="n">
        <v>45905</v>
      </c>
      <c r="E31" s="19" t="n">
        <f aca="false">INDEX(Customers!$D$2:$D$11,MATCH(B31,Customers!$A$2:$A$11,0))</f>
        <v>30</v>
      </c>
      <c r="F31" s="21" t="n">
        <f aca="false">D31+E31</f>
        <v>45935</v>
      </c>
      <c r="G31" s="18" t="n">
        <v>29720</v>
      </c>
      <c r="H31" s="18" t="n">
        <v>29720</v>
      </c>
      <c r="I31" s="20" t="n">
        <v>45948</v>
      </c>
      <c r="J31" s="22" t="n">
        <f aca="false">G31-H31</f>
        <v>0</v>
      </c>
      <c r="K31" s="16" t="n">
        <f aca="false">IF(AND(J31&gt;0,Assumptions!$B$2&gt;F31),Assumptions!$B$2-F31,0)</f>
        <v>0</v>
      </c>
      <c r="L31" s="16" t="str">
        <f aca="false">IF(J31&lt;=0,"Paid",IF(K31=0,"Not due",IF(K31&lt;=30,"1-30",IF(K31&lt;=60,"31-60",IF(K31&lt;=90,"61-90","90+")))))</f>
        <v>Paid</v>
      </c>
      <c r="M31" s="16" t="n">
        <f aca="false">IF(AND(J31&lt;=0,I31&lt;&gt;""),I31-D31,"")</f>
        <v>43</v>
      </c>
    </row>
    <row r="32" customFormat="false" ht="15" hidden="false" customHeight="false" outlineLevel="0" collapsed="false">
      <c r="A32" s="17" t="s">
        <v>125</v>
      </c>
      <c r="B32" s="17" t="s">
        <v>61</v>
      </c>
      <c r="C32" s="19" t="str">
        <f aca="false">INDEX(Customers!$B$2:$B$11,MATCH(B32,Customers!$A$2:$A$11,0))</f>
        <v>Metro Utilities Co</v>
      </c>
      <c r="D32" s="20" t="n">
        <v>45908</v>
      </c>
      <c r="E32" s="19" t="n">
        <f aca="false">INDEX(Customers!$D$2:$D$11,MATCH(B32,Customers!$A$2:$A$11,0))</f>
        <v>60</v>
      </c>
      <c r="F32" s="21" t="n">
        <f aca="false">D32+E32</f>
        <v>45968</v>
      </c>
      <c r="G32" s="18" t="n">
        <v>44970</v>
      </c>
      <c r="H32" s="18" t="n">
        <v>44970</v>
      </c>
      <c r="I32" s="20" t="n">
        <v>46001</v>
      </c>
      <c r="J32" s="22" t="n">
        <f aca="false">G32-H32</f>
        <v>0</v>
      </c>
      <c r="K32" s="16" t="n">
        <f aca="false">IF(AND(J32&gt;0,Assumptions!$B$2&gt;F32),Assumptions!$B$2-F32,0)</f>
        <v>0</v>
      </c>
      <c r="L32" s="16" t="str">
        <f aca="false">IF(J32&lt;=0,"Paid",IF(K32=0,"Not due",IF(K32&lt;=30,"1-30",IF(K32&lt;=60,"31-60",IF(K32&lt;=90,"61-90","90+")))))</f>
        <v>Paid</v>
      </c>
      <c r="M32" s="16" t="n">
        <f aca="false">IF(AND(J32&lt;=0,I32&lt;&gt;""),I32-D32,"")</f>
        <v>93</v>
      </c>
    </row>
    <row r="33" customFormat="false" ht="15" hidden="false" customHeight="false" outlineLevel="0" collapsed="false">
      <c r="A33" s="17" t="s">
        <v>126</v>
      </c>
      <c r="B33" s="17" t="s">
        <v>61</v>
      </c>
      <c r="C33" s="19" t="str">
        <f aca="false">INDEX(Customers!$B$2:$B$11,MATCH(B33,Customers!$A$2:$A$11,0))</f>
        <v>Metro Utilities Co</v>
      </c>
      <c r="D33" s="20" t="n">
        <v>45908</v>
      </c>
      <c r="E33" s="19" t="n">
        <f aca="false">INDEX(Customers!$D$2:$D$11,MATCH(B33,Customers!$A$2:$A$11,0))</f>
        <v>60</v>
      </c>
      <c r="F33" s="21" t="n">
        <f aca="false">D33+E33</f>
        <v>45968</v>
      </c>
      <c r="G33" s="18" t="n">
        <v>36320</v>
      </c>
      <c r="H33" s="18" t="n">
        <v>0</v>
      </c>
      <c r="I33" s="20"/>
      <c r="J33" s="22" t="n">
        <f aca="false">G33-H33</f>
        <v>36320</v>
      </c>
      <c r="K33" s="16" t="n">
        <f aca="false">IF(AND(J33&gt;0,Assumptions!$B$2&gt;F33),Assumptions!$B$2-F33,0)</f>
        <v>54</v>
      </c>
      <c r="L33" s="16" t="str">
        <f aca="false">IF(J33&lt;=0,"Paid",IF(K33=0,"Not due",IF(K33&lt;=30,"1-30",IF(K33&lt;=60,"31-60",IF(K33&lt;=90,"61-90","90+")))))</f>
        <v>31-60</v>
      </c>
      <c r="M33" s="16" t="str">
        <f aca="false">IF(AND(J33&lt;=0,I33&lt;&gt;""),I33-D33,"")</f>
        <v/>
      </c>
    </row>
    <row r="34" customFormat="false" ht="15" hidden="false" customHeight="false" outlineLevel="0" collapsed="false">
      <c r="A34" s="17" t="s">
        <v>127</v>
      </c>
      <c r="B34" s="17" t="s">
        <v>58</v>
      </c>
      <c r="C34" s="19" t="str">
        <f aca="false">INDEX(Customers!$B$2:$B$11,MATCH(B34,Customers!$A$2:$A$11,0))</f>
        <v>Gulf Infra Projects</v>
      </c>
      <c r="D34" s="20" t="n">
        <v>45911</v>
      </c>
      <c r="E34" s="19" t="n">
        <f aca="false">INDEX(Customers!$D$2:$D$11,MATCH(B34,Customers!$A$2:$A$11,0))</f>
        <v>45</v>
      </c>
      <c r="F34" s="21" t="n">
        <f aca="false">D34+E34</f>
        <v>45956</v>
      </c>
      <c r="G34" s="18" t="n">
        <v>31780</v>
      </c>
      <c r="H34" s="18" t="n">
        <v>31780</v>
      </c>
      <c r="I34" s="20" t="n">
        <v>45984</v>
      </c>
      <c r="J34" s="22" t="n">
        <f aca="false">G34-H34</f>
        <v>0</v>
      </c>
      <c r="K34" s="16" t="n">
        <f aca="false">IF(AND(J34&gt;0,Assumptions!$B$2&gt;F34),Assumptions!$B$2-F34,0)</f>
        <v>0</v>
      </c>
      <c r="L34" s="16" t="str">
        <f aca="false">IF(J34&lt;=0,"Paid",IF(K34=0,"Not due",IF(K34&lt;=30,"1-30",IF(K34&lt;=60,"31-60",IF(K34&lt;=90,"61-90","90+")))))</f>
        <v>Paid</v>
      </c>
      <c r="M34" s="16" t="n">
        <f aca="false">IF(AND(J34&lt;=0,I34&lt;&gt;""),I34-D34,"")</f>
        <v>73</v>
      </c>
    </row>
    <row r="35" customFormat="false" ht="15" hidden="false" customHeight="false" outlineLevel="0" collapsed="false">
      <c r="A35" s="17" t="s">
        <v>128</v>
      </c>
      <c r="B35" s="17" t="s">
        <v>76</v>
      </c>
      <c r="C35" s="19" t="str">
        <f aca="false">INDEX(Customers!$B$2:$B$11,MATCH(B35,Customers!$A$2:$A$11,0))</f>
        <v>Coastal Roads Authority</v>
      </c>
      <c r="D35" s="20" t="n">
        <v>45911</v>
      </c>
      <c r="E35" s="19" t="n">
        <f aca="false">INDEX(Customers!$D$2:$D$11,MATCH(B35,Customers!$A$2:$A$11,0))</f>
        <v>90</v>
      </c>
      <c r="F35" s="21" t="n">
        <f aca="false">D35+E35</f>
        <v>46001</v>
      </c>
      <c r="G35" s="18" t="n">
        <v>27060</v>
      </c>
      <c r="H35" s="18" t="n">
        <v>0</v>
      </c>
      <c r="I35" s="20"/>
      <c r="J35" s="22" t="n">
        <f aca="false">G35-H35</f>
        <v>27060</v>
      </c>
      <c r="K35" s="16" t="n">
        <f aca="false">IF(AND(J35&gt;0,Assumptions!$B$2&gt;F35),Assumptions!$B$2-F35,0)</f>
        <v>21</v>
      </c>
      <c r="L35" s="16" t="str">
        <f aca="false">IF(J35&lt;=0,"Paid",IF(K35=0,"Not due",IF(K35&lt;=30,"1-30",IF(K35&lt;=60,"31-60",IF(K35&lt;=90,"61-90","90+")))))</f>
        <v>1-30</v>
      </c>
      <c r="M35" s="16" t="str">
        <f aca="false">IF(AND(J35&lt;=0,I35&lt;&gt;""),I35-D35,"")</f>
        <v/>
      </c>
    </row>
    <row r="36" customFormat="false" ht="15" hidden="false" customHeight="false" outlineLevel="0" collapsed="false">
      <c r="A36" s="17" t="s">
        <v>129</v>
      </c>
      <c r="B36" s="17" t="s">
        <v>73</v>
      </c>
      <c r="C36" s="19" t="str">
        <f aca="false">INDEX(Customers!$B$2:$B$11,MATCH(B36,Customers!$A$2:$A$11,0))</f>
        <v>Sunrise Facilities</v>
      </c>
      <c r="D36" s="20" t="n">
        <v>45914</v>
      </c>
      <c r="E36" s="19" t="n">
        <f aca="false">INDEX(Customers!$D$2:$D$11,MATCH(B36,Customers!$A$2:$A$11,0))</f>
        <v>30</v>
      </c>
      <c r="F36" s="21" t="n">
        <f aca="false">D36+E36</f>
        <v>45944</v>
      </c>
      <c r="G36" s="18" t="n">
        <v>27470</v>
      </c>
      <c r="H36" s="18" t="n">
        <v>27470</v>
      </c>
      <c r="I36" s="20" t="n">
        <v>45942</v>
      </c>
      <c r="J36" s="22" t="n">
        <f aca="false">G36-H36</f>
        <v>0</v>
      </c>
      <c r="K36" s="16" t="n">
        <f aca="false">IF(AND(J36&gt;0,Assumptions!$B$2&gt;F36),Assumptions!$B$2-F36,0)</f>
        <v>0</v>
      </c>
      <c r="L36" s="16" t="str">
        <f aca="false">IF(J36&lt;=0,"Paid",IF(K36=0,"Not due",IF(K36&lt;=30,"1-30",IF(K36&lt;=60,"31-60",IF(K36&lt;=90,"61-90","90+")))))</f>
        <v>Paid</v>
      </c>
      <c r="M36" s="16" t="n">
        <f aca="false">IF(AND(J36&lt;=0,I36&lt;&gt;""),I36-D36,"")</f>
        <v>28</v>
      </c>
    </row>
    <row r="37" customFormat="false" ht="15" hidden="false" customHeight="false" outlineLevel="0" collapsed="false">
      <c r="A37" s="17" t="s">
        <v>130</v>
      </c>
      <c r="B37" s="17" t="s">
        <v>73</v>
      </c>
      <c r="C37" s="19" t="str">
        <f aca="false">INDEX(Customers!$B$2:$B$11,MATCH(B37,Customers!$A$2:$A$11,0))</f>
        <v>Sunrise Facilities</v>
      </c>
      <c r="D37" s="20" t="n">
        <v>45914</v>
      </c>
      <c r="E37" s="19" t="n">
        <f aca="false">INDEX(Customers!$D$2:$D$11,MATCH(B37,Customers!$A$2:$A$11,0))</f>
        <v>30</v>
      </c>
      <c r="F37" s="21" t="n">
        <f aca="false">D37+E37</f>
        <v>45944</v>
      </c>
      <c r="G37" s="18" t="n">
        <v>33580</v>
      </c>
      <c r="H37" s="18" t="n">
        <v>33580</v>
      </c>
      <c r="I37" s="20" t="n">
        <v>45942</v>
      </c>
      <c r="J37" s="22" t="n">
        <f aca="false">G37-H37</f>
        <v>0</v>
      </c>
      <c r="K37" s="16" t="n">
        <f aca="false">IF(AND(J37&gt;0,Assumptions!$B$2&gt;F37),Assumptions!$B$2-F37,0)</f>
        <v>0</v>
      </c>
      <c r="L37" s="16" t="str">
        <f aca="false">IF(J37&lt;=0,"Paid",IF(K37=0,"Not due",IF(K37&lt;=30,"1-30",IF(K37&lt;=60,"31-60",IF(K37&lt;=90,"61-90","90+")))))</f>
        <v>Paid</v>
      </c>
      <c r="M37" s="16" t="n">
        <f aca="false">IF(AND(J37&lt;=0,I37&lt;&gt;""),I37-D37,"")</f>
        <v>28</v>
      </c>
    </row>
    <row r="38" customFormat="false" ht="15" hidden="false" customHeight="false" outlineLevel="0" collapsed="false">
      <c r="A38" s="17" t="s">
        <v>131</v>
      </c>
      <c r="B38" s="17" t="s">
        <v>76</v>
      </c>
      <c r="C38" s="19" t="str">
        <f aca="false">INDEX(Customers!$B$2:$B$11,MATCH(B38,Customers!$A$2:$A$11,0))</f>
        <v>Coastal Roads Authority</v>
      </c>
      <c r="D38" s="20" t="n">
        <v>45917</v>
      </c>
      <c r="E38" s="19" t="n">
        <f aca="false">INDEX(Customers!$D$2:$D$11,MATCH(B38,Customers!$A$2:$A$11,0))</f>
        <v>90</v>
      </c>
      <c r="F38" s="21" t="n">
        <f aca="false">D38+E38</f>
        <v>46007</v>
      </c>
      <c r="G38" s="18" t="n">
        <v>22430</v>
      </c>
      <c r="H38" s="18" t="n">
        <v>0</v>
      </c>
      <c r="I38" s="20"/>
      <c r="J38" s="22" t="n">
        <f aca="false">G38-H38</f>
        <v>22430</v>
      </c>
      <c r="K38" s="16" t="n">
        <f aca="false">IF(AND(J38&gt;0,Assumptions!$B$2&gt;F38),Assumptions!$B$2-F38,0)</f>
        <v>15</v>
      </c>
      <c r="L38" s="16" t="str">
        <f aca="false">IF(J38&lt;=0,"Paid",IF(K38=0,"Not due",IF(K38&lt;=30,"1-30",IF(K38&lt;=60,"31-60",IF(K38&lt;=90,"61-90","90+")))))</f>
        <v>1-30</v>
      </c>
      <c r="M38" s="16" t="str">
        <f aca="false">IF(AND(J38&lt;=0,I38&lt;&gt;""),I38-D38,"")</f>
        <v/>
      </c>
    </row>
    <row r="39" customFormat="false" ht="15" hidden="false" customHeight="false" outlineLevel="0" collapsed="false">
      <c r="A39" s="17" t="s">
        <v>132</v>
      </c>
      <c r="B39" s="17" t="s">
        <v>79</v>
      </c>
      <c r="C39" s="19" t="str">
        <f aca="false">INDEX(Customers!$B$2:$B$11,MATCH(B39,Customers!$A$2:$A$11,0))</f>
        <v>Prime Events</v>
      </c>
      <c r="D39" s="20" t="n">
        <v>45917</v>
      </c>
      <c r="E39" s="19" t="n">
        <f aca="false">INDEX(Customers!$D$2:$D$11,MATCH(B39,Customers!$A$2:$A$11,0))</f>
        <v>15</v>
      </c>
      <c r="F39" s="21" t="n">
        <f aca="false">D39+E39</f>
        <v>45932</v>
      </c>
      <c r="G39" s="18" t="n">
        <v>4250</v>
      </c>
      <c r="H39" s="18" t="n">
        <v>4250</v>
      </c>
      <c r="I39" s="20" t="n">
        <v>45932</v>
      </c>
      <c r="J39" s="22" t="n">
        <f aca="false">G39-H39</f>
        <v>0</v>
      </c>
      <c r="K39" s="16" t="n">
        <f aca="false">IF(AND(J39&gt;0,Assumptions!$B$2&gt;F39),Assumptions!$B$2-F39,0)</f>
        <v>0</v>
      </c>
      <c r="L39" s="16" t="str">
        <f aca="false">IF(J39&lt;=0,"Paid",IF(K39=0,"Not due",IF(K39&lt;=30,"1-30",IF(K39&lt;=60,"31-60",IF(K39&lt;=90,"61-90","90+")))))</f>
        <v>Paid</v>
      </c>
      <c r="M39" s="16" t="n">
        <f aca="false">IF(AND(J39&lt;=0,I39&lt;&gt;""),I39-D39,"")</f>
        <v>15</v>
      </c>
    </row>
    <row r="40" customFormat="false" ht="15" hidden="false" customHeight="false" outlineLevel="0" collapsed="false">
      <c r="A40" s="17" t="s">
        <v>133</v>
      </c>
      <c r="B40" s="17" t="s">
        <v>58</v>
      </c>
      <c r="C40" s="19" t="str">
        <f aca="false">INDEX(Customers!$B$2:$B$11,MATCH(B40,Customers!$A$2:$A$11,0))</f>
        <v>Gulf Infra Projects</v>
      </c>
      <c r="D40" s="20" t="n">
        <v>45920</v>
      </c>
      <c r="E40" s="19" t="n">
        <f aca="false">INDEX(Customers!$D$2:$D$11,MATCH(B40,Customers!$A$2:$A$11,0))</f>
        <v>45</v>
      </c>
      <c r="F40" s="21" t="n">
        <f aca="false">D40+E40</f>
        <v>45965</v>
      </c>
      <c r="G40" s="18" t="n">
        <v>23880</v>
      </c>
      <c r="H40" s="18" t="n">
        <v>14330</v>
      </c>
      <c r="I40" s="20" t="n">
        <v>45966</v>
      </c>
      <c r="J40" s="22" t="n">
        <f aca="false">G40-H40</f>
        <v>9550</v>
      </c>
      <c r="K40" s="16" t="n">
        <f aca="false">IF(AND(J40&gt;0,Assumptions!$B$2&gt;F40),Assumptions!$B$2-F40,0)</f>
        <v>57</v>
      </c>
      <c r="L40" s="16" t="str">
        <f aca="false">IF(J40&lt;=0,"Paid",IF(K40=0,"Not due",IF(K40&lt;=30,"1-30",IF(K40&lt;=60,"31-60",IF(K40&lt;=90,"61-90","90+")))))</f>
        <v>31-60</v>
      </c>
      <c r="M40" s="16" t="str">
        <f aca="false">IF(AND(J40&lt;=0,I40&lt;&gt;""),I40-D40,"")</f>
        <v/>
      </c>
    </row>
    <row r="41" customFormat="false" ht="15" hidden="false" customHeight="false" outlineLevel="0" collapsed="false">
      <c r="A41" s="17" t="s">
        <v>134</v>
      </c>
      <c r="B41" s="17" t="s">
        <v>82</v>
      </c>
      <c r="C41" s="19" t="str">
        <f aca="false">INDEX(Customers!$B$2:$B$11,MATCH(B41,Customers!$A$2:$A$11,0))</f>
        <v>Oasis Retail Group</v>
      </c>
      <c r="D41" s="20" t="n">
        <v>45923</v>
      </c>
      <c r="E41" s="19" t="n">
        <f aca="false">INDEX(Customers!$D$2:$D$11,MATCH(B41,Customers!$A$2:$A$11,0))</f>
        <v>30</v>
      </c>
      <c r="F41" s="21" t="n">
        <f aca="false">D41+E41</f>
        <v>45953</v>
      </c>
      <c r="G41" s="18" t="n">
        <v>11510</v>
      </c>
      <c r="H41" s="18" t="n">
        <v>11510</v>
      </c>
      <c r="I41" s="20" t="n">
        <v>45953</v>
      </c>
      <c r="J41" s="22" t="n">
        <f aca="false">G41-H41</f>
        <v>0</v>
      </c>
      <c r="K41" s="16" t="n">
        <f aca="false">IF(AND(J41&gt;0,Assumptions!$B$2&gt;F41),Assumptions!$B$2-F41,0)</f>
        <v>0</v>
      </c>
      <c r="L41" s="16" t="str">
        <f aca="false">IF(J41&lt;=0,"Paid",IF(K41=0,"Not due",IF(K41&lt;=30,"1-30",IF(K41&lt;=60,"31-60",IF(K41&lt;=90,"61-90","90+")))))</f>
        <v>Paid</v>
      </c>
      <c r="M41" s="16" t="n">
        <f aca="false">IF(AND(J41&lt;=0,I41&lt;&gt;""),I41-D41,"")</f>
        <v>30</v>
      </c>
    </row>
    <row r="42" customFormat="false" ht="15" hidden="false" customHeight="false" outlineLevel="0" collapsed="false">
      <c r="A42" s="17" t="s">
        <v>135</v>
      </c>
      <c r="B42" s="17" t="s">
        <v>76</v>
      </c>
      <c r="C42" s="19" t="str">
        <f aca="false">INDEX(Customers!$B$2:$B$11,MATCH(B42,Customers!$A$2:$A$11,0))</f>
        <v>Coastal Roads Authority</v>
      </c>
      <c r="D42" s="20" t="n">
        <v>45926</v>
      </c>
      <c r="E42" s="19" t="n">
        <f aca="false">INDEX(Customers!$D$2:$D$11,MATCH(B42,Customers!$A$2:$A$11,0))</f>
        <v>90</v>
      </c>
      <c r="F42" s="21" t="n">
        <f aca="false">D42+E42</f>
        <v>46016</v>
      </c>
      <c r="G42" s="18" t="n">
        <v>40450</v>
      </c>
      <c r="H42" s="18" t="n">
        <v>0</v>
      </c>
      <c r="I42" s="20"/>
      <c r="J42" s="22" t="n">
        <f aca="false">G42-H42</f>
        <v>40450</v>
      </c>
      <c r="K42" s="16" t="n">
        <f aca="false">IF(AND(J42&gt;0,Assumptions!$B$2&gt;F42),Assumptions!$B$2-F42,0)</f>
        <v>6</v>
      </c>
      <c r="L42" s="16" t="str">
        <f aca="false">IF(J42&lt;=0,"Paid",IF(K42=0,"Not due",IF(K42&lt;=30,"1-30",IF(K42&lt;=60,"31-60",IF(K42&lt;=90,"61-90","90+")))))</f>
        <v>1-30</v>
      </c>
      <c r="M42" s="16" t="str">
        <f aca="false">IF(AND(J42&lt;=0,I42&lt;&gt;""),I42-D42,"")</f>
        <v/>
      </c>
    </row>
    <row r="43" customFormat="false" ht="15" hidden="false" customHeight="false" outlineLevel="0" collapsed="false">
      <c r="A43" s="17" t="s">
        <v>136</v>
      </c>
      <c r="B43" s="17" t="s">
        <v>64</v>
      </c>
      <c r="C43" s="19" t="str">
        <f aca="false">INDEX(Customers!$B$2:$B$11,MATCH(B43,Customers!$A$2:$A$11,0))</f>
        <v>Desert Logistics</v>
      </c>
      <c r="D43" s="20" t="n">
        <v>45926</v>
      </c>
      <c r="E43" s="19" t="n">
        <f aca="false">INDEX(Customers!$D$2:$D$11,MATCH(B43,Customers!$A$2:$A$11,0))</f>
        <v>30</v>
      </c>
      <c r="F43" s="21" t="n">
        <f aca="false">D43+E43</f>
        <v>45956</v>
      </c>
      <c r="G43" s="18" t="n">
        <v>29640</v>
      </c>
      <c r="H43" s="18" t="n">
        <v>29640</v>
      </c>
      <c r="I43" s="20" t="n">
        <v>45968</v>
      </c>
      <c r="J43" s="22" t="n">
        <f aca="false">G43-H43</f>
        <v>0</v>
      </c>
      <c r="K43" s="16" t="n">
        <f aca="false">IF(AND(J43&gt;0,Assumptions!$B$2&gt;F43),Assumptions!$B$2-F43,0)</f>
        <v>0</v>
      </c>
      <c r="L43" s="16" t="str">
        <f aca="false">IF(J43&lt;=0,"Paid",IF(K43=0,"Not due",IF(K43&lt;=30,"1-30",IF(K43&lt;=60,"31-60",IF(K43&lt;=90,"61-90","90+")))))</f>
        <v>Paid</v>
      </c>
      <c r="M43" s="16" t="n">
        <f aca="false">IF(AND(J43&lt;=0,I43&lt;&gt;""),I43-D43,"")</f>
        <v>42</v>
      </c>
    </row>
    <row r="44" customFormat="false" ht="15" hidden="false" customHeight="false" outlineLevel="0" collapsed="false">
      <c r="A44" s="17" t="s">
        <v>137</v>
      </c>
      <c r="B44" s="17" t="s">
        <v>64</v>
      </c>
      <c r="C44" s="19" t="str">
        <f aca="false">INDEX(Customers!$B$2:$B$11,MATCH(B44,Customers!$A$2:$A$11,0))</f>
        <v>Desert Logistics</v>
      </c>
      <c r="D44" s="20" t="n">
        <v>45929</v>
      </c>
      <c r="E44" s="19" t="n">
        <f aca="false">INDEX(Customers!$D$2:$D$11,MATCH(B44,Customers!$A$2:$A$11,0))</f>
        <v>30</v>
      </c>
      <c r="F44" s="21" t="n">
        <f aca="false">D44+E44</f>
        <v>45959</v>
      </c>
      <c r="G44" s="18" t="n">
        <v>19150</v>
      </c>
      <c r="H44" s="18" t="n">
        <v>19150</v>
      </c>
      <c r="I44" s="20" t="n">
        <v>45955</v>
      </c>
      <c r="J44" s="22" t="n">
        <f aca="false">G44-H44</f>
        <v>0</v>
      </c>
      <c r="K44" s="16" t="n">
        <f aca="false">IF(AND(J44&gt;0,Assumptions!$B$2&gt;F44),Assumptions!$B$2-F44,0)</f>
        <v>0</v>
      </c>
      <c r="L44" s="16" t="str">
        <f aca="false">IF(J44&lt;=0,"Paid",IF(K44=0,"Not due",IF(K44&lt;=30,"1-30",IF(K44&lt;=60,"31-60",IF(K44&lt;=90,"61-90","90+")))))</f>
        <v>Paid</v>
      </c>
      <c r="M44" s="16" t="n">
        <f aca="false">IF(AND(J44&lt;=0,I44&lt;&gt;""),I44-D44,"")</f>
        <v>26</v>
      </c>
    </row>
    <row r="45" customFormat="false" ht="15" hidden="false" customHeight="false" outlineLevel="0" collapsed="false">
      <c r="A45" s="17" t="s">
        <v>138</v>
      </c>
      <c r="B45" s="17" t="s">
        <v>58</v>
      </c>
      <c r="C45" s="19" t="str">
        <f aca="false">INDEX(Customers!$B$2:$B$11,MATCH(B45,Customers!$A$2:$A$11,0))</f>
        <v>Gulf Infra Projects</v>
      </c>
      <c r="D45" s="20" t="n">
        <v>45932</v>
      </c>
      <c r="E45" s="19" t="n">
        <f aca="false">INDEX(Customers!$D$2:$D$11,MATCH(B45,Customers!$A$2:$A$11,0))</f>
        <v>45</v>
      </c>
      <c r="F45" s="21" t="n">
        <f aca="false">D45+E45</f>
        <v>45977</v>
      </c>
      <c r="G45" s="18" t="n">
        <v>42900</v>
      </c>
      <c r="H45" s="18" t="n">
        <v>42900</v>
      </c>
      <c r="I45" s="20" t="n">
        <v>45988</v>
      </c>
      <c r="J45" s="22" t="n">
        <f aca="false">G45-H45</f>
        <v>0</v>
      </c>
      <c r="K45" s="16" t="n">
        <f aca="false">IF(AND(J45&gt;0,Assumptions!$B$2&gt;F45),Assumptions!$B$2-F45,0)</f>
        <v>0</v>
      </c>
      <c r="L45" s="16" t="str">
        <f aca="false">IF(J45&lt;=0,"Paid",IF(K45=0,"Not due",IF(K45&lt;=30,"1-30",IF(K45&lt;=60,"31-60",IF(K45&lt;=90,"61-90","90+")))))</f>
        <v>Paid</v>
      </c>
      <c r="M45" s="16" t="n">
        <f aca="false">IF(AND(J45&lt;=0,I45&lt;&gt;""),I45-D45,"")</f>
        <v>56</v>
      </c>
    </row>
    <row r="46" customFormat="false" ht="15" hidden="false" customHeight="false" outlineLevel="0" collapsed="false">
      <c r="A46" s="17" t="s">
        <v>139</v>
      </c>
      <c r="B46" s="17" t="s">
        <v>76</v>
      </c>
      <c r="C46" s="19" t="str">
        <f aca="false">INDEX(Customers!$B$2:$B$11,MATCH(B46,Customers!$A$2:$A$11,0))</f>
        <v>Coastal Roads Authority</v>
      </c>
      <c r="D46" s="20" t="n">
        <v>45935</v>
      </c>
      <c r="E46" s="19" t="n">
        <f aca="false">INDEX(Customers!$D$2:$D$11,MATCH(B46,Customers!$A$2:$A$11,0))</f>
        <v>90</v>
      </c>
      <c r="F46" s="21" t="n">
        <f aca="false">D46+E46</f>
        <v>46025</v>
      </c>
      <c r="G46" s="18" t="n">
        <v>14560</v>
      </c>
      <c r="H46" s="18" t="n">
        <v>0</v>
      </c>
      <c r="I46" s="20"/>
      <c r="J46" s="22" t="n">
        <f aca="false">G46-H46</f>
        <v>14560</v>
      </c>
      <c r="K46" s="16" t="n">
        <f aca="false">IF(AND(J46&gt;0,Assumptions!$B$2&gt;F46),Assumptions!$B$2-F46,0)</f>
        <v>0</v>
      </c>
      <c r="L46" s="16" t="str">
        <f aca="false">IF(J46&lt;=0,"Paid",IF(K46=0,"Not due",IF(K46&lt;=30,"1-30",IF(K46&lt;=60,"31-60",IF(K46&lt;=90,"61-90","90+")))))</f>
        <v>Not due</v>
      </c>
      <c r="M46" s="16" t="str">
        <f aca="false">IF(AND(J46&lt;=0,I46&lt;&gt;""),I46-D46,"")</f>
        <v/>
      </c>
    </row>
    <row r="47" customFormat="false" ht="15" hidden="false" customHeight="false" outlineLevel="0" collapsed="false">
      <c r="A47" s="17" t="s">
        <v>140</v>
      </c>
      <c r="B47" s="17" t="s">
        <v>79</v>
      </c>
      <c r="C47" s="19" t="str">
        <f aca="false">INDEX(Customers!$B$2:$B$11,MATCH(B47,Customers!$A$2:$A$11,0))</f>
        <v>Prime Events</v>
      </c>
      <c r="D47" s="20" t="n">
        <v>45935</v>
      </c>
      <c r="E47" s="19" t="n">
        <f aca="false">INDEX(Customers!$D$2:$D$11,MATCH(B47,Customers!$A$2:$A$11,0))</f>
        <v>15</v>
      </c>
      <c r="F47" s="21" t="n">
        <f aca="false">D47+E47</f>
        <v>45950</v>
      </c>
      <c r="G47" s="18" t="n">
        <v>23740</v>
      </c>
      <c r="H47" s="18" t="n">
        <v>23740</v>
      </c>
      <c r="I47" s="20" t="n">
        <v>45961</v>
      </c>
      <c r="J47" s="22" t="n">
        <f aca="false">G47-H47</f>
        <v>0</v>
      </c>
      <c r="K47" s="16" t="n">
        <f aca="false">IF(AND(J47&gt;0,Assumptions!$B$2&gt;F47),Assumptions!$B$2-F47,0)</f>
        <v>0</v>
      </c>
      <c r="L47" s="16" t="str">
        <f aca="false">IF(J47&lt;=0,"Paid",IF(K47=0,"Not due",IF(K47&lt;=30,"1-30",IF(K47&lt;=60,"31-60",IF(K47&lt;=90,"61-90","90+")))))</f>
        <v>Paid</v>
      </c>
      <c r="M47" s="16" t="n">
        <f aca="false">IF(AND(J47&lt;=0,I47&lt;&gt;""),I47-D47,"")</f>
        <v>26</v>
      </c>
    </row>
    <row r="48" customFormat="false" ht="15" hidden="false" customHeight="false" outlineLevel="0" collapsed="false">
      <c r="A48" s="17" t="s">
        <v>141</v>
      </c>
      <c r="B48" s="17" t="s">
        <v>70</v>
      </c>
      <c r="C48" s="19" t="str">
        <f aca="false">INDEX(Customers!$B$2:$B$11,MATCH(B48,Customers!$A$2:$A$11,0))</f>
        <v>Harbor Developers</v>
      </c>
      <c r="D48" s="20" t="n">
        <v>45938</v>
      </c>
      <c r="E48" s="19" t="n">
        <f aca="false">INDEX(Customers!$D$2:$D$11,MATCH(B48,Customers!$A$2:$A$11,0))</f>
        <v>60</v>
      </c>
      <c r="F48" s="21" t="n">
        <f aca="false">D48+E48</f>
        <v>45998</v>
      </c>
      <c r="G48" s="18" t="n">
        <v>6140</v>
      </c>
      <c r="H48" s="18" t="n">
        <v>0</v>
      </c>
      <c r="I48" s="20"/>
      <c r="J48" s="22" t="n">
        <f aca="false">G48-H48</f>
        <v>6140</v>
      </c>
      <c r="K48" s="16" t="n">
        <f aca="false">IF(AND(J48&gt;0,Assumptions!$B$2&gt;F48),Assumptions!$B$2-F48,0)</f>
        <v>24</v>
      </c>
      <c r="L48" s="16" t="str">
        <f aca="false">IF(J48&lt;=0,"Paid",IF(K48=0,"Not due",IF(K48&lt;=30,"1-30",IF(K48&lt;=60,"31-60",IF(K48&lt;=90,"61-90","90+")))))</f>
        <v>1-30</v>
      </c>
      <c r="M48" s="16" t="str">
        <f aca="false">IF(AND(J48&lt;=0,I48&lt;&gt;""),I48-D48,"")</f>
        <v/>
      </c>
    </row>
    <row r="49" customFormat="false" ht="15" hidden="false" customHeight="false" outlineLevel="0" collapsed="false">
      <c r="A49" s="17" t="s">
        <v>142</v>
      </c>
      <c r="B49" s="17" t="s">
        <v>55</v>
      </c>
      <c r="C49" s="19" t="str">
        <f aca="false">INDEX(Customers!$B$2:$B$11,MATCH(B49,Customers!$A$2:$A$11,0))</f>
        <v>Al Noor Construction</v>
      </c>
      <c r="D49" s="20" t="n">
        <v>45938</v>
      </c>
      <c r="E49" s="19" t="n">
        <f aca="false">INDEX(Customers!$D$2:$D$11,MATCH(B49,Customers!$A$2:$A$11,0))</f>
        <v>30</v>
      </c>
      <c r="F49" s="21" t="n">
        <f aca="false">D49+E49</f>
        <v>45968</v>
      </c>
      <c r="G49" s="18" t="n">
        <v>31490</v>
      </c>
      <c r="H49" s="18" t="n">
        <v>31490</v>
      </c>
      <c r="I49" s="20" t="n">
        <v>45976</v>
      </c>
      <c r="J49" s="22" t="n">
        <f aca="false">G49-H49</f>
        <v>0</v>
      </c>
      <c r="K49" s="16" t="n">
        <f aca="false">IF(AND(J49&gt;0,Assumptions!$B$2&gt;F49),Assumptions!$B$2-F49,0)</f>
        <v>0</v>
      </c>
      <c r="L49" s="16" t="str">
        <f aca="false">IF(J49&lt;=0,"Paid",IF(K49=0,"Not due",IF(K49&lt;=30,"1-30",IF(K49&lt;=60,"31-60",IF(K49&lt;=90,"61-90","90+")))))</f>
        <v>Paid</v>
      </c>
      <c r="M49" s="16" t="n">
        <f aca="false">IF(AND(J49&lt;=0,I49&lt;&gt;""),I49-D49,"")</f>
        <v>38</v>
      </c>
    </row>
    <row r="50" customFormat="false" ht="15" hidden="false" customHeight="false" outlineLevel="0" collapsed="false">
      <c r="A50" s="17" t="s">
        <v>143</v>
      </c>
      <c r="B50" s="17" t="s">
        <v>61</v>
      </c>
      <c r="C50" s="19" t="str">
        <f aca="false">INDEX(Customers!$B$2:$B$11,MATCH(B50,Customers!$A$2:$A$11,0))</f>
        <v>Metro Utilities Co</v>
      </c>
      <c r="D50" s="20" t="n">
        <v>45941</v>
      </c>
      <c r="E50" s="19" t="n">
        <f aca="false">INDEX(Customers!$D$2:$D$11,MATCH(B50,Customers!$A$2:$A$11,0))</f>
        <v>60</v>
      </c>
      <c r="F50" s="21" t="n">
        <f aca="false">D50+E50</f>
        <v>46001</v>
      </c>
      <c r="G50" s="18" t="n">
        <v>20020</v>
      </c>
      <c r="H50" s="18" t="n">
        <v>0</v>
      </c>
      <c r="I50" s="20"/>
      <c r="J50" s="22" t="n">
        <f aca="false">G50-H50</f>
        <v>20020</v>
      </c>
      <c r="K50" s="16" t="n">
        <f aca="false">IF(AND(J50&gt;0,Assumptions!$B$2&gt;F50),Assumptions!$B$2-F50,0)</f>
        <v>21</v>
      </c>
      <c r="L50" s="16" t="str">
        <f aca="false">IF(J50&lt;=0,"Paid",IF(K50=0,"Not due",IF(K50&lt;=30,"1-30",IF(K50&lt;=60,"31-60",IF(K50&lt;=90,"61-90","90+")))))</f>
        <v>1-30</v>
      </c>
      <c r="M50" s="16" t="str">
        <f aca="false">IF(AND(J50&lt;=0,I50&lt;&gt;""),I50-D50,"")</f>
        <v/>
      </c>
    </row>
    <row r="51" customFormat="false" ht="15" hidden="false" customHeight="false" outlineLevel="0" collapsed="false">
      <c r="A51" s="17" t="s">
        <v>144</v>
      </c>
      <c r="B51" s="17" t="s">
        <v>64</v>
      </c>
      <c r="C51" s="19" t="str">
        <f aca="false">INDEX(Customers!$B$2:$B$11,MATCH(B51,Customers!$A$2:$A$11,0))</f>
        <v>Desert Logistics</v>
      </c>
      <c r="D51" s="20" t="n">
        <v>45944</v>
      </c>
      <c r="E51" s="19" t="n">
        <f aca="false">INDEX(Customers!$D$2:$D$11,MATCH(B51,Customers!$A$2:$A$11,0))</f>
        <v>30</v>
      </c>
      <c r="F51" s="21" t="n">
        <f aca="false">D51+E51</f>
        <v>45974</v>
      </c>
      <c r="G51" s="18" t="n">
        <v>35730</v>
      </c>
      <c r="H51" s="18" t="n">
        <v>35730</v>
      </c>
      <c r="I51" s="20" t="n">
        <v>45988</v>
      </c>
      <c r="J51" s="22" t="n">
        <f aca="false">G51-H51</f>
        <v>0</v>
      </c>
      <c r="K51" s="16" t="n">
        <f aca="false">IF(AND(J51&gt;0,Assumptions!$B$2&gt;F51),Assumptions!$B$2-F51,0)</f>
        <v>0</v>
      </c>
      <c r="L51" s="16" t="str">
        <f aca="false">IF(J51&lt;=0,"Paid",IF(K51=0,"Not due",IF(K51&lt;=30,"1-30",IF(K51&lt;=60,"31-60",IF(K51&lt;=90,"61-90","90+")))))</f>
        <v>Paid</v>
      </c>
      <c r="M51" s="16" t="n">
        <f aca="false">IF(AND(J51&lt;=0,I51&lt;&gt;""),I51-D51,"")</f>
        <v>44</v>
      </c>
    </row>
    <row r="52" customFormat="false" ht="15" hidden="false" customHeight="false" outlineLevel="0" collapsed="false">
      <c r="A52" s="17" t="s">
        <v>145</v>
      </c>
      <c r="B52" s="17" t="s">
        <v>58</v>
      </c>
      <c r="C52" s="19" t="str">
        <f aca="false">INDEX(Customers!$B$2:$B$11,MATCH(B52,Customers!$A$2:$A$11,0))</f>
        <v>Gulf Infra Projects</v>
      </c>
      <c r="D52" s="20" t="n">
        <v>45944</v>
      </c>
      <c r="E52" s="19" t="n">
        <f aca="false">INDEX(Customers!$D$2:$D$11,MATCH(B52,Customers!$A$2:$A$11,0))</f>
        <v>45</v>
      </c>
      <c r="F52" s="21" t="n">
        <f aca="false">D52+E52</f>
        <v>45989</v>
      </c>
      <c r="G52" s="18" t="n">
        <v>21750</v>
      </c>
      <c r="H52" s="18" t="n">
        <v>21750</v>
      </c>
      <c r="I52" s="20" t="n">
        <v>45996</v>
      </c>
      <c r="J52" s="22" t="n">
        <f aca="false">G52-H52</f>
        <v>0</v>
      </c>
      <c r="K52" s="16" t="n">
        <f aca="false">IF(AND(J52&gt;0,Assumptions!$B$2&gt;F52),Assumptions!$B$2-F52,0)</f>
        <v>0</v>
      </c>
      <c r="L52" s="16" t="str">
        <f aca="false">IF(J52&lt;=0,"Paid",IF(K52=0,"Not due",IF(K52&lt;=30,"1-30",IF(K52&lt;=60,"31-60",IF(K52&lt;=90,"61-90","90+")))))</f>
        <v>Paid</v>
      </c>
      <c r="M52" s="16" t="n">
        <f aca="false">IF(AND(J52&lt;=0,I52&lt;&gt;""),I52-D52,"")</f>
        <v>52</v>
      </c>
    </row>
    <row r="53" customFormat="false" ht="15" hidden="false" customHeight="false" outlineLevel="0" collapsed="false">
      <c r="A53" s="17" t="s">
        <v>146</v>
      </c>
      <c r="B53" s="17" t="s">
        <v>64</v>
      </c>
      <c r="C53" s="19" t="str">
        <f aca="false">INDEX(Customers!$B$2:$B$11,MATCH(B53,Customers!$A$2:$A$11,0))</f>
        <v>Desert Logistics</v>
      </c>
      <c r="D53" s="20" t="n">
        <v>45947</v>
      </c>
      <c r="E53" s="19" t="n">
        <f aca="false">INDEX(Customers!$D$2:$D$11,MATCH(B53,Customers!$A$2:$A$11,0))</f>
        <v>30</v>
      </c>
      <c r="F53" s="21" t="n">
        <f aca="false">D53+E53</f>
        <v>45977</v>
      </c>
      <c r="G53" s="18" t="n">
        <v>37600</v>
      </c>
      <c r="H53" s="18" t="n">
        <v>37600</v>
      </c>
      <c r="I53" s="20" t="n">
        <v>45972</v>
      </c>
      <c r="J53" s="22" t="n">
        <f aca="false">G53-H53</f>
        <v>0</v>
      </c>
      <c r="K53" s="16" t="n">
        <f aca="false">IF(AND(J53&gt;0,Assumptions!$B$2&gt;F53),Assumptions!$B$2-F53,0)</f>
        <v>0</v>
      </c>
      <c r="L53" s="16" t="str">
        <f aca="false">IF(J53&lt;=0,"Paid",IF(K53=0,"Not due",IF(K53&lt;=30,"1-30",IF(K53&lt;=60,"31-60",IF(K53&lt;=90,"61-90","90+")))))</f>
        <v>Paid</v>
      </c>
      <c r="M53" s="16" t="n">
        <f aca="false">IF(AND(J53&lt;=0,I53&lt;&gt;""),I53-D53,"")</f>
        <v>25</v>
      </c>
    </row>
    <row r="54" customFormat="false" ht="15" hidden="false" customHeight="false" outlineLevel="0" collapsed="false">
      <c r="A54" s="17" t="s">
        <v>147</v>
      </c>
      <c r="B54" s="17" t="s">
        <v>79</v>
      </c>
      <c r="C54" s="19" t="str">
        <f aca="false">INDEX(Customers!$B$2:$B$11,MATCH(B54,Customers!$A$2:$A$11,0))</f>
        <v>Prime Events</v>
      </c>
      <c r="D54" s="20" t="n">
        <v>45950</v>
      </c>
      <c r="E54" s="19" t="n">
        <f aca="false">INDEX(Customers!$D$2:$D$11,MATCH(B54,Customers!$A$2:$A$11,0))</f>
        <v>15</v>
      </c>
      <c r="F54" s="21" t="n">
        <f aca="false">D54+E54</f>
        <v>45965</v>
      </c>
      <c r="G54" s="18" t="n">
        <v>33000</v>
      </c>
      <c r="H54" s="18" t="n">
        <v>33000</v>
      </c>
      <c r="I54" s="20" t="n">
        <v>45970</v>
      </c>
      <c r="J54" s="22" t="n">
        <f aca="false">G54-H54</f>
        <v>0</v>
      </c>
      <c r="K54" s="16" t="n">
        <f aca="false">IF(AND(J54&gt;0,Assumptions!$B$2&gt;F54),Assumptions!$B$2-F54,0)</f>
        <v>0</v>
      </c>
      <c r="L54" s="16" t="str">
        <f aca="false">IF(J54&lt;=0,"Paid",IF(K54=0,"Not due",IF(K54&lt;=30,"1-30",IF(K54&lt;=60,"31-60",IF(K54&lt;=90,"61-90","90+")))))</f>
        <v>Paid</v>
      </c>
      <c r="M54" s="16" t="n">
        <f aca="false">IF(AND(J54&lt;=0,I54&lt;&gt;""),I54-D54,"")</f>
        <v>20</v>
      </c>
    </row>
    <row r="55" customFormat="false" ht="15" hidden="false" customHeight="false" outlineLevel="0" collapsed="false">
      <c r="A55" s="17" t="s">
        <v>148</v>
      </c>
      <c r="B55" s="17" t="s">
        <v>79</v>
      </c>
      <c r="C55" s="19" t="str">
        <f aca="false">INDEX(Customers!$B$2:$B$11,MATCH(B55,Customers!$A$2:$A$11,0))</f>
        <v>Prime Events</v>
      </c>
      <c r="D55" s="20" t="n">
        <v>45950</v>
      </c>
      <c r="E55" s="19" t="n">
        <f aca="false">INDEX(Customers!$D$2:$D$11,MATCH(B55,Customers!$A$2:$A$11,0))</f>
        <v>15</v>
      </c>
      <c r="F55" s="21" t="n">
        <f aca="false">D55+E55</f>
        <v>45965</v>
      </c>
      <c r="G55" s="18" t="n">
        <v>24020</v>
      </c>
      <c r="H55" s="18" t="n">
        <v>24020</v>
      </c>
      <c r="I55" s="20" t="n">
        <v>45973</v>
      </c>
      <c r="J55" s="22" t="n">
        <f aca="false">G55-H55</f>
        <v>0</v>
      </c>
      <c r="K55" s="16" t="n">
        <f aca="false">IF(AND(J55&gt;0,Assumptions!$B$2&gt;F55),Assumptions!$B$2-F55,0)</f>
        <v>0</v>
      </c>
      <c r="L55" s="16" t="str">
        <f aca="false">IF(J55&lt;=0,"Paid",IF(K55=0,"Not due",IF(K55&lt;=30,"1-30",IF(K55&lt;=60,"31-60",IF(K55&lt;=90,"61-90","90+")))))</f>
        <v>Paid</v>
      </c>
      <c r="M55" s="16" t="n">
        <f aca="false">IF(AND(J55&lt;=0,I55&lt;&gt;""),I55-D55,"")</f>
        <v>23</v>
      </c>
    </row>
    <row r="56" customFormat="false" ht="15" hidden="false" customHeight="false" outlineLevel="0" collapsed="false">
      <c r="A56" s="17" t="s">
        <v>149</v>
      </c>
      <c r="B56" s="17" t="s">
        <v>58</v>
      </c>
      <c r="C56" s="19" t="str">
        <f aca="false">INDEX(Customers!$B$2:$B$11,MATCH(B56,Customers!$A$2:$A$11,0))</f>
        <v>Gulf Infra Projects</v>
      </c>
      <c r="D56" s="20" t="n">
        <v>45953</v>
      </c>
      <c r="E56" s="19" t="n">
        <f aca="false">INDEX(Customers!$D$2:$D$11,MATCH(B56,Customers!$A$2:$A$11,0))</f>
        <v>45</v>
      </c>
      <c r="F56" s="21" t="n">
        <f aca="false">D56+E56</f>
        <v>45998</v>
      </c>
      <c r="G56" s="18" t="n">
        <v>20240</v>
      </c>
      <c r="H56" s="18" t="n">
        <v>20240</v>
      </c>
      <c r="I56" s="20" t="n">
        <v>46019</v>
      </c>
      <c r="J56" s="22" t="n">
        <f aca="false">G56-H56</f>
        <v>0</v>
      </c>
      <c r="K56" s="16" t="n">
        <f aca="false">IF(AND(J56&gt;0,Assumptions!$B$2&gt;F56),Assumptions!$B$2-F56,0)</f>
        <v>0</v>
      </c>
      <c r="L56" s="16" t="str">
        <f aca="false">IF(J56&lt;=0,"Paid",IF(K56=0,"Not due",IF(K56&lt;=30,"1-30",IF(K56&lt;=60,"31-60",IF(K56&lt;=90,"61-90","90+")))))</f>
        <v>Paid</v>
      </c>
      <c r="M56" s="16" t="n">
        <f aca="false">IF(AND(J56&lt;=0,I56&lt;&gt;""),I56-D56,"")</f>
        <v>66</v>
      </c>
    </row>
    <row r="57" customFormat="false" ht="15" hidden="false" customHeight="false" outlineLevel="0" collapsed="false">
      <c r="A57" s="17" t="s">
        <v>150</v>
      </c>
      <c r="B57" s="17" t="s">
        <v>73</v>
      </c>
      <c r="C57" s="19" t="str">
        <f aca="false">INDEX(Customers!$B$2:$B$11,MATCH(B57,Customers!$A$2:$A$11,0))</f>
        <v>Sunrise Facilities</v>
      </c>
      <c r="D57" s="20" t="n">
        <v>45956</v>
      </c>
      <c r="E57" s="19" t="n">
        <f aca="false">INDEX(Customers!$D$2:$D$11,MATCH(B57,Customers!$A$2:$A$11,0))</f>
        <v>30</v>
      </c>
      <c r="F57" s="21" t="n">
        <f aca="false">D57+E57</f>
        <v>45986</v>
      </c>
      <c r="G57" s="18" t="n">
        <v>26100</v>
      </c>
      <c r="H57" s="18" t="n">
        <v>26100</v>
      </c>
      <c r="I57" s="20" t="n">
        <v>45982</v>
      </c>
      <c r="J57" s="22" t="n">
        <f aca="false">G57-H57</f>
        <v>0</v>
      </c>
      <c r="K57" s="16" t="n">
        <f aca="false">IF(AND(J57&gt;0,Assumptions!$B$2&gt;F57),Assumptions!$B$2-F57,0)</f>
        <v>0</v>
      </c>
      <c r="L57" s="16" t="str">
        <f aca="false">IF(J57&lt;=0,"Paid",IF(K57=0,"Not due",IF(K57&lt;=30,"1-30",IF(K57&lt;=60,"31-60",IF(K57&lt;=90,"61-90","90+")))))</f>
        <v>Paid</v>
      </c>
      <c r="M57" s="16" t="n">
        <f aca="false">IF(AND(J57&lt;=0,I57&lt;&gt;""),I57-D57,"")</f>
        <v>26</v>
      </c>
    </row>
    <row r="58" customFormat="false" ht="15" hidden="false" customHeight="false" outlineLevel="0" collapsed="false">
      <c r="A58" s="17" t="s">
        <v>151</v>
      </c>
      <c r="B58" s="17" t="s">
        <v>76</v>
      </c>
      <c r="C58" s="19" t="str">
        <f aca="false">INDEX(Customers!$B$2:$B$11,MATCH(B58,Customers!$A$2:$A$11,0))</f>
        <v>Coastal Roads Authority</v>
      </c>
      <c r="D58" s="20" t="n">
        <v>45959</v>
      </c>
      <c r="E58" s="19" t="n">
        <f aca="false">INDEX(Customers!$D$2:$D$11,MATCH(B58,Customers!$A$2:$A$11,0))</f>
        <v>90</v>
      </c>
      <c r="F58" s="21" t="n">
        <f aca="false">D58+E58</f>
        <v>46049</v>
      </c>
      <c r="G58" s="18" t="n">
        <v>16710</v>
      </c>
      <c r="H58" s="18" t="n">
        <v>0</v>
      </c>
      <c r="I58" s="20"/>
      <c r="J58" s="22" t="n">
        <f aca="false">G58-H58</f>
        <v>16710</v>
      </c>
      <c r="K58" s="16" t="n">
        <f aca="false">IF(AND(J58&gt;0,Assumptions!$B$2&gt;F58),Assumptions!$B$2-F58,0)</f>
        <v>0</v>
      </c>
      <c r="L58" s="16" t="str">
        <f aca="false">IF(J58&lt;=0,"Paid",IF(K58=0,"Not due",IF(K58&lt;=30,"1-30",IF(K58&lt;=60,"31-60",IF(K58&lt;=90,"61-90","90+")))))</f>
        <v>Not due</v>
      </c>
      <c r="M58" s="16" t="str">
        <f aca="false">IF(AND(J58&lt;=0,I58&lt;&gt;""),I58-D58,"")</f>
        <v/>
      </c>
    </row>
    <row r="59" customFormat="false" ht="15" hidden="false" customHeight="false" outlineLevel="0" collapsed="false">
      <c r="A59" s="17" t="s">
        <v>152</v>
      </c>
      <c r="B59" s="17" t="s">
        <v>58</v>
      </c>
      <c r="C59" s="19" t="str">
        <f aca="false">INDEX(Customers!$B$2:$B$11,MATCH(B59,Customers!$A$2:$A$11,0))</f>
        <v>Gulf Infra Projects</v>
      </c>
      <c r="D59" s="20" t="n">
        <v>45959</v>
      </c>
      <c r="E59" s="19" t="n">
        <f aca="false">INDEX(Customers!$D$2:$D$11,MATCH(B59,Customers!$A$2:$A$11,0))</f>
        <v>45</v>
      </c>
      <c r="F59" s="21" t="n">
        <f aca="false">D59+E59</f>
        <v>46004</v>
      </c>
      <c r="G59" s="18" t="n">
        <v>11960</v>
      </c>
      <c r="H59" s="18" t="n">
        <v>11960</v>
      </c>
      <c r="I59" s="20" t="n">
        <v>46018</v>
      </c>
      <c r="J59" s="22" t="n">
        <f aca="false">G59-H59</f>
        <v>0</v>
      </c>
      <c r="K59" s="16" t="n">
        <f aca="false">IF(AND(J59&gt;0,Assumptions!$B$2&gt;F59),Assumptions!$B$2-F59,0)</f>
        <v>0</v>
      </c>
      <c r="L59" s="16" t="str">
        <f aca="false">IF(J59&lt;=0,"Paid",IF(K59=0,"Not due",IF(K59&lt;=30,"1-30",IF(K59&lt;=60,"31-60",IF(K59&lt;=90,"61-90","90+")))))</f>
        <v>Paid</v>
      </c>
      <c r="M59" s="16" t="n">
        <f aca="false">IF(AND(J59&lt;=0,I59&lt;&gt;""),I59-D59,"")</f>
        <v>59</v>
      </c>
    </row>
    <row r="60" customFormat="false" ht="15" hidden="false" customHeight="false" outlineLevel="0" collapsed="false">
      <c r="A60" s="17" t="s">
        <v>153</v>
      </c>
      <c r="B60" s="17" t="s">
        <v>79</v>
      </c>
      <c r="C60" s="19" t="str">
        <f aca="false">INDEX(Customers!$B$2:$B$11,MATCH(B60,Customers!$A$2:$A$11,0))</f>
        <v>Prime Events</v>
      </c>
      <c r="D60" s="20" t="n">
        <v>45962</v>
      </c>
      <c r="E60" s="19" t="n">
        <f aca="false">INDEX(Customers!$D$2:$D$11,MATCH(B60,Customers!$A$2:$A$11,0))</f>
        <v>15</v>
      </c>
      <c r="F60" s="21" t="n">
        <f aca="false">D60+E60</f>
        <v>45977</v>
      </c>
      <c r="G60" s="18" t="n">
        <v>44020</v>
      </c>
      <c r="H60" s="18" t="n">
        <v>33020</v>
      </c>
      <c r="I60" s="20" t="n">
        <v>45985</v>
      </c>
      <c r="J60" s="22" t="n">
        <f aca="false">G60-H60</f>
        <v>11000</v>
      </c>
      <c r="K60" s="16" t="n">
        <f aca="false">IF(AND(J60&gt;0,Assumptions!$B$2&gt;F60),Assumptions!$B$2-F60,0)</f>
        <v>45</v>
      </c>
      <c r="L60" s="16" t="str">
        <f aca="false">IF(J60&lt;=0,"Paid",IF(K60=0,"Not due",IF(K60&lt;=30,"1-30",IF(K60&lt;=60,"31-60",IF(K60&lt;=90,"61-90","90+")))))</f>
        <v>31-60</v>
      </c>
      <c r="M60" s="16" t="str">
        <f aca="false">IF(AND(J60&lt;=0,I60&lt;&gt;""),I60-D60,"")</f>
        <v/>
      </c>
    </row>
    <row r="61" customFormat="false" ht="15" hidden="false" customHeight="false" outlineLevel="0" collapsed="false">
      <c r="A61" s="17" t="s">
        <v>154</v>
      </c>
      <c r="B61" s="17" t="s">
        <v>58</v>
      </c>
      <c r="C61" s="19" t="str">
        <f aca="false">INDEX(Customers!$B$2:$B$11,MATCH(B61,Customers!$A$2:$A$11,0))</f>
        <v>Gulf Infra Projects</v>
      </c>
      <c r="D61" s="20" t="n">
        <v>45962</v>
      </c>
      <c r="E61" s="19" t="n">
        <f aca="false">INDEX(Customers!$D$2:$D$11,MATCH(B61,Customers!$A$2:$A$11,0))</f>
        <v>45</v>
      </c>
      <c r="F61" s="21" t="n">
        <f aca="false">D61+E61</f>
        <v>46007</v>
      </c>
      <c r="G61" s="18" t="n">
        <v>4560</v>
      </c>
      <c r="H61" s="18" t="n">
        <v>4560</v>
      </c>
      <c r="I61" s="20" t="n">
        <v>46019</v>
      </c>
      <c r="J61" s="22" t="n">
        <f aca="false">G61-H61</f>
        <v>0</v>
      </c>
      <c r="K61" s="16" t="n">
        <f aca="false">IF(AND(J61&gt;0,Assumptions!$B$2&gt;F61),Assumptions!$B$2-F61,0)</f>
        <v>0</v>
      </c>
      <c r="L61" s="16" t="str">
        <f aca="false">IF(J61&lt;=0,"Paid",IF(K61=0,"Not due",IF(K61&lt;=30,"1-30",IF(K61&lt;=60,"31-60",IF(K61&lt;=90,"61-90","90+")))))</f>
        <v>Paid</v>
      </c>
      <c r="M61" s="16" t="n">
        <f aca="false">IF(AND(J61&lt;=0,I61&lt;&gt;""),I61-D61,"")</f>
        <v>57</v>
      </c>
    </row>
    <row r="62" customFormat="false" ht="15" hidden="false" customHeight="false" outlineLevel="0" collapsed="false">
      <c r="A62" s="17" t="s">
        <v>155</v>
      </c>
      <c r="B62" s="17" t="s">
        <v>76</v>
      </c>
      <c r="C62" s="19" t="str">
        <f aca="false">INDEX(Customers!$B$2:$B$11,MATCH(B62,Customers!$A$2:$A$11,0))</f>
        <v>Coastal Roads Authority</v>
      </c>
      <c r="D62" s="20" t="n">
        <v>45965</v>
      </c>
      <c r="E62" s="19" t="n">
        <f aca="false">INDEX(Customers!$D$2:$D$11,MATCH(B62,Customers!$A$2:$A$11,0))</f>
        <v>90</v>
      </c>
      <c r="F62" s="21" t="n">
        <f aca="false">D62+E62</f>
        <v>46055</v>
      </c>
      <c r="G62" s="18" t="n">
        <v>41630</v>
      </c>
      <c r="H62" s="18" t="n">
        <v>0</v>
      </c>
      <c r="I62" s="20"/>
      <c r="J62" s="22" t="n">
        <f aca="false">G62-H62</f>
        <v>41630</v>
      </c>
      <c r="K62" s="16" t="n">
        <f aca="false">IF(AND(J62&gt;0,Assumptions!$B$2&gt;F62),Assumptions!$B$2-F62,0)</f>
        <v>0</v>
      </c>
      <c r="L62" s="16" t="str">
        <f aca="false">IF(J62&lt;=0,"Paid",IF(K62=0,"Not due",IF(K62&lt;=30,"1-30",IF(K62&lt;=60,"31-60",IF(K62&lt;=90,"61-90","90+")))))</f>
        <v>Not due</v>
      </c>
      <c r="M62" s="16" t="str">
        <f aca="false">IF(AND(J62&lt;=0,I62&lt;&gt;""),I62-D62,"")</f>
        <v/>
      </c>
    </row>
    <row r="63" customFormat="false" ht="15" hidden="false" customHeight="false" outlineLevel="0" collapsed="false">
      <c r="A63" s="17" t="s">
        <v>156</v>
      </c>
      <c r="B63" s="17" t="s">
        <v>73</v>
      </c>
      <c r="C63" s="19" t="str">
        <f aca="false">INDEX(Customers!$B$2:$B$11,MATCH(B63,Customers!$A$2:$A$11,0))</f>
        <v>Sunrise Facilities</v>
      </c>
      <c r="D63" s="20" t="n">
        <v>45965</v>
      </c>
      <c r="E63" s="19" t="n">
        <f aca="false">INDEX(Customers!$D$2:$D$11,MATCH(B63,Customers!$A$2:$A$11,0))</f>
        <v>30</v>
      </c>
      <c r="F63" s="21" t="n">
        <f aca="false">D63+E63</f>
        <v>45995</v>
      </c>
      <c r="G63" s="18" t="n">
        <v>36590</v>
      </c>
      <c r="H63" s="18" t="n">
        <v>36590</v>
      </c>
      <c r="I63" s="20" t="n">
        <v>46010</v>
      </c>
      <c r="J63" s="22" t="n">
        <f aca="false">G63-H63</f>
        <v>0</v>
      </c>
      <c r="K63" s="16" t="n">
        <f aca="false">IF(AND(J63&gt;0,Assumptions!$B$2&gt;F63),Assumptions!$B$2-F63,0)</f>
        <v>0</v>
      </c>
      <c r="L63" s="16" t="str">
        <f aca="false">IF(J63&lt;=0,"Paid",IF(K63=0,"Not due",IF(K63&lt;=30,"1-30",IF(K63&lt;=60,"31-60",IF(K63&lt;=90,"61-90","90+")))))</f>
        <v>Paid</v>
      </c>
      <c r="M63" s="16" t="n">
        <f aca="false">IF(AND(J63&lt;=0,I63&lt;&gt;""),I63-D63,"")</f>
        <v>45</v>
      </c>
    </row>
    <row r="64" customFormat="false" ht="15" hidden="false" customHeight="false" outlineLevel="0" collapsed="false">
      <c r="A64" s="17" t="s">
        <v>157</v>
      </c>
      <c r="B64" s="17" t="s">
        <v>76</v>
      </c>
      <c r="C64" s="19" t="str">
        <f aca="false">INDEX(Customers!$B$2:$B$11,MATCH(B64,Customers!$A$2:$A$11,0))</f>
        <v>Coastal Roads Authority</v>
      </c>
      <c r="D64" s="20" t="n">
        <v>45968</v>
      </c>
      <c r="E64" s="19" t="n">
        <f aca="false">INDEX(Customers!$D$2:$D$11,MATCH(B64,Customers!$A$2:$A$11,0))</f>
        <v>90</v>
      </c>
      <c r="F64" s="21" t="n">
        <f aca="false">D64+E64</f>
        <v>46058</v>
      </c>
      <c r="G64" s="18" t="n">
        <v>9240</v>
      </c>
      <c r="H64" s="18" t="n">
        <v>0</v>
      </c>
      <c r="I64" s="20"/>
      <c r="J64" s="22" t="n">
        <f aca="false">G64-H64</f>
        <v>9240</v>
      </c>
      <c r="K64" s="16" t="n">
        <f aca="false">IF(AND(J64&gt;0,Assumptions!$B$2&gt;F64),Assumptions!$B$2-F64,0)</f>
        <v>0</v>
      </c>
      <c r="L64" s="16" t="str">
        <f aca="false">IF(J64&lt;=0,"Paid",IF(K64=0,"Not due",IF(K64&lt;=30,"1-30",IF(K64&lt;=60,"31-60",IF(K64&lt;=90,"61-90","90+")))))</f>
        <v>Not due</v>
      </c>
      <c r="M64" s="16" t="str">
        <f aca="false">IF(AND(J64&lt;=0,I64&lt;&gt;""),I64-D64,"")</f>
        <v/>
      </c>
    </row>
    <row r="65" customFormat="false" ht="15" hidden="false" customHeight="false" outlineLevel="0" collapsed="false">
      <c r="A65" s="17" t="s">
        <v>158</v>
      </c>
      <c r="B65" s="17" t="s">
        <v>76</v>
      </c>
      <c r="C65" s="19" t="str">
        <f aca="false">INDEX(Customers!$B$2:$B$11,MATCH(B65,Customers!$A$2:$A$11,0))</f>
        <v>Coastal Roads Authority</v>
      </c>
      <c r="D65" s="20" t="n">
        <v>45971</v>
      </c>
      <c r="E65" s="19" t="n">
        <f aca="false">INDEX(Customers!$D$2:$D$11,MATCH(B65,Customers!$A$2:$A$11,0))</f>
        <v>90</v>
      </c>
      <c r="F65" s="21" t="n">
        <f aca="false">D65+E65</f>
        <v>46061</v>
      </c>
      <c r="G65" s="18" t="n">
        <v>27320</v>
      </c>
      <c r="H65" s="18" t="n">
        <v>0</v>
      </c>
      <c r="I65" s="20"/>
      <c r="J65" s="22" t="n">
        <f aca="false">G65-H65</f>
        <v>27320</v>
      </c>
      <c r="K65" s="16" t="n">
        <f aca="false">IF(AND(J65&gt;0,Assumptions!$B$2&gt;F65),Assumptions!$B$2-F65,0)</f>
        <v>0</v>
      </c>
      <c r="L65" s="16" t="str">
        <f aca="false">IF(J65&lt;=0,"Paid",IF(K65=0,"Not due",IF(K65&lt;=30,"1-30",IF(K65&lt;=60,"31-60",IF(K65&lt;=90,"61-90","90+")))))</f>
        <v>Not due</v>
      </c>
      <c r="M65" s="16" t="str">
        <f aca="false">IF(AND(J65&lt;=0,I65&lt;&gt;""),I65-D65,"")</f>
        <v/>
      </c>
    </row>
    <row r="66" customFormat="false" ht="15" hidden="false" customHeight="false" outlineLevel="0" collapsed="false">
      <c r="A66" s="17" t="s">
        <v>159</v>
      </c>
      <c r="B66" s="17" t="s">
        <v>58</v>
      </c>
      <c r="C66" s="19" t="str">
        <f aca="false">INDEX(Customers!$B$2:$B$11,MATCH(B66,Customers!$A$2:$A$11,0))</f>
        <v>Gulf Infra Projects</v>
      </c>
      <c r="D66" s="20" t="n">
        <v>45971</v>
      </c>
      <c r="E66" s="19" t="n">
        <f aca="false">INDEX(Customers!$D$2:$D$11,MATCH(B66,Customers!$A$2:$A$11,0))</f>
        <v>45</v>
      </c>
      <c r="F66" s="21" t="n">
        <f aca="false">D66+E66</f>
        <v>46016</v>
      </c>
      <c r="G66" s="18" t="n">
        <v>34830</v>
      </c>
      <c r="H66" s="18" t="n">
        <v>34830</v>
      </c>
      <c r="I66" s="20" t="n">
        <v>46021</v>
      </c>
      <c r="J66" s="22" t="n">
        <f aca="false">G66-H66</f>
        <v>0</v>
      </c>
      <c r="K66" s="16" t="n">
        <f aca="false">IF(AND(J66&gt;0,Assumptions!$B$2&gt;F66),Assumptions!$B$2-F66,0)</f>
        <v>0</v>
      </c>
      <c r="L66" s="16" t="str">
        <f aca="false">IF(J66&lt;=0,"Paid",IF(K66=0,"Not due",IF(K66&lt;=30,"1-30",IF(K66&lt;=60,"31-60",IF(K66&lt;=90,"61-90","90+")))))</f>
        <v>Paid</v>
      </c>
      <c r="M66" s="16" t="n">
        <f aca="false">IF(AND(J66&lt;=0,I66&lt;&gt;""),I66-D66,"")</f>
        <v>50</v>
      </c>
    </row>
    <row r="67" customFormat="false" ht="15" hidden="false" customHeight="false" outlineLevel="0" collapsed="false">
      <c r="A67" s="17" t="s">
        <v>160</v>
      </c>
      <c r="B67" s="17" t="s">
        <v>79</v>
      </c>
      <c r="C67" s="19" t="str">
        <f aca="false">INDEX(Customers!$B$2:$B$11,MATCH(B67,Customers!$A$2:$A$11,0))</f>
        <v>Prime Events</v>
      </c>
      <c r="D67" s="20" t="n">
        <v>45974</v>
      </c>
      <c r="E67" s="19" t="n">
        <f aca="false">INDEX(Customers!$D$2:$D$11,MATCH(B67,Customers!$A$2:$A$11,0))</f>
        <v>15</v>
      </c>
      <c r="F67" s="21" t="n">
        <f aca="false">D67+E67</f>
        <v>45989</v>
      </c>
      <c r="G67" s="18" t="n">
        <v>24600</v>
      </c>
      <c r="H67" s="18" t="n">
        <v>24600</v>
      </c>
      <c r="I67" s="20" t="n">
        <v>45995</v>
      </c>
      <c r="J67" s="22" t="n">
        <f aca="false">G67-H67</f>
        <v>0</v>
      </c>
      <c r="K67" s="16" t="n">
        <f aca="false">IF(AND(J67&gt;0,Assumptions!$B$2&gt;F67),Assumptions!$B$2-F67,0)</f>
        <v>0</v>
      </c>
      <c r="L67" s="16" t="str">
        <f aca="false">IF(J67&lt;=0,"Paid",IF(K67=0,"Not due",IF(K67&lt;=30,"1-30",IF(K67&lt;=60,"31-60",IF(K67&lt;=90,"61-90","90+")))))</f>
        <v>Paid</v>
      </c>
      <c r="M67" s="16" t="n">
        <f aca="false">IF(AND(J67&lt;=0,I67&lt;&gt;""),I67-D67,"")</f>
        <v>21</v>
      </c>
    </row>
    <row r="68" customFormat="false" ht="15" hidden="false" customHeight="false" outlineLevel="0" collapsed="false">
      <c r="A68" s="17" t="s">
        <v>161</v>
      </c>
      <c r="B68" s="17" t="s">
        <v>82</v>
      </c>
      <c r="C68" s="19" t="str">
        <f aca="false">INDEX(Customers!$B$2:$B$11,MATCH(B68,Customers!$A$2:$A$11,0))</f>
        <v>Oasis Retail Group</v>
      </c>
      <c r="D68" s="20" t="n">
        <v>45977</v>
      </c>
      <c r="E68" s="19" t="n">
        <f aca="false">INDEX(Customers!$D$2:$D$11,MATCH(B68,Customers!$A$2:$A$11,0))</f>
        <v>30</v>
      </c>
      <c r="F68" s="21" t="n">
        <f aca="false">D68+E68</f>
        <v>46007</v>
      </c>
      <c r="G68" s="18" t="n">
        <v>11750</v>
      </c>
      <c r="H68" s="18" t="n">
        <v>0</v>
      </c>
      <c r="I68" s="20"/>
      <c r="J68" s="22" t="n">
        <f aca="false">G68-H68</f>
        <v>11750</v>
      </c>
      <c r="K68" s="16" t="n">
        <f aca="false">IF(AND(J68&gt;0,Assumptions!$B$2&gt;F68),Assumptions!$B$2-F68,0)</f>
        <v>15</v>
      </c>
      <c r="L68" s="16" t="str">
        <f aca="false">IF(J68&lt;=0,"Paid",IF(K68=0,"Not due",IF(K68&lt;=30,"1-30",IF(K68&lt;=60,"31-60",IF(K68&lt;=90,"61-90","90+")))))</f>
        <v>1-30</v>
      </c>
      <c r="M68" s="16" t="str">
        <f aca="false">IF(AND(J68&lt;=0,I68&lt;&gt;""),I68-D68,"")</f>
        <v/>
      </c>
    </row>
    <row r="69" customFormat="false" ht="15" hidden="false" customHeight="false" outlineLevel="0" collapsed="false">
      <c r="A69" s="17" t="s">
        <v>162</v>
      </c>
      <c r="B69" s="17" t="s">
        <v>79</v>
      </c>
      <c r="C69" s="19" t="str">
        <f aca="false">INDEX(Customers!$B$2:$B$11,MATCH(B69,Customers!$A$2:$A$11,0))</f>
        <v>Prime Events</v>
      </c>
      <c r="D69" s="20" t="n">
        <v>45977</v>
      </c>
      <c r="E69" s="19" t="n">
        <f aca="false">INDEX(Customers!$D$2:$D$11,MATCH(B69,Customers!$A$2:$A$11,0))</f>
        <v>15</v>
      </c>
      <c r="F69" s="21" t="n">
        <f aca="false">D69+E69</f>
        <v>45992</v>
      </c>
      <c r="G69" s="18" t="n">
        <v>14460</v>
      </c>
      <c r="H69" s="18" t="n">
        <v>14460</v>
      </c>
      <c r="I69" s="20" t="n">
        <v>45987</v>
      </c>
      <c r="J69" s="22" t="n">
        <f aca="false">G69-H69</f>
        <v>0</v>
      </c>
      <c r="K69" s="16" t="n">
        <f aca="false">IF(AND(J69&gt;0,Assumptions!$B$2&gt;F69),Assumptions!$B$2-F69,0)</f>
        <v>0</v>
      </c>
      <c r="L69" s="16" t="str">
        <f aca="false">IF(J69&lt;=0,"Paid",IF(K69=0,"Not due",IF(K69&lt;=30,"1-30",IF(K69&lt;=60,"31-60",IF(K69&lt;=90,"61-90","90+")))))</f>
        <v>Paid</v>
      </c>
      <c r="M69" s="16" t="n">
        <f aca="false">IF(AND(J69&lt;=0,I69&lt;&gt;""),I69-D69,"")</f>
        <v>10</v>
      </c>
    </row>
    <row r="70" customFormat="false" ht="15" hidden="false" customHeight="false" outlineLevel="0" collapsed="false">
      <c r="A70" s="17" t="s">
        <v>163</v>
      </c>
      <c r="B70" s="17" t="s">
        <v>79</v>
      </c>
      <c r="C70" s="19" t="str">
        <f aca="false">INDEX(Customers!$B$2:$B$11,MATCH(B70,Customers!$A$2:$A$11,0))</f>
        <v>Prime Events</v>
      </c>
      <c r="D70" s="20" t="n">
        <v>45980</v>
      </c>
      <c r="E70" s="19" t="n">
        <f aca="false">INDEX(Customers!$D$2:$D$11,MATCH(B70,Customers!$A$2:$A$11,0))</f>
        <v>15</v>
      </c>
      <c r="F70" s="21" t="n">
        <f aca="false">D70+E70</f>
        <v>45995</v>
      </c>
      <c r="G70" s="18" t="n">
        <v>3210</v>
      </c>
      <c r="H70" s="18" t="n">
        <v>3210</v>
      </c>
      <c r="I70" s="20" t="n">
        <v>45991</v>
      </c>
      <c r="J70" s="22" t="n">
        <f aca="false">G70-H70</f>
        <v>0</v>
      </c>
      <c r="K70" s="16" t="n">
        <f aca="false">IF(AND(J70&gt;0,Assumptions!$B$2&gt;F70),Assumptions!$B$2-F70,0)</f>
        <v>0</v>
      </c>
      <c r="L70" s="16" t="str">
        <f aca="false">IF(J70&lt;=0,"Paid",IF(K70=0,"Not due",IF(K70&lt;=30,"1-30",IF(K70&lt;=60,"31-60",IF(K70&lt;=90,"61-90","90+")))))</f>
        <v>Paid</v>
      </c>
      <c r="M70" s="16" t="n">
        <f aca="false">IF(AND(J70&lt;=0,I70&lt;&gt;""),I70-D70,"")</f>
        <v>11</v>
      </c>
    </row>
    <row r="71" customFormat="false" ht="15" hidden="false" customHeight="false" outlineLevel="0" collapsed="false">
      <c r="A71" s="17" t="s">
        <v>164</v>
      </c>
      <c r="B71" s="17" t="s">
        <v>76</v>
      </c>
      <c r="C71" s="19" t="str">
        <f aca="false">INDEX(Customers!$B$2:$B$11,MATCH(B71,Customers!$A$2:$A$11,0))</f>
        <v>Coastal Roads Authority</v>
      </c>
      <c r="D71" s="20" t="n">
        <v>45983</v>
      </c>
      <c r="E71" s="19" t="n">
        <f aca="false">INDEX(Customers!$D$2:$D$11,MATCH(B71,Customers!$A$2:$A$11,0))</f>
        <v>90</v>
      </c>
      <c r="F71" s="21" t="n">
        <f aca="false">D71+E71</f>
        <v>46073</v>
      </c>
      <c r="G71" s="18" t="n">
        <v>6920</v>
      </c>
      <c r="H71" s="18" t="n">
        <v>0</v>
      </c>
      <c r="I71" s="20"/>
      <c r="J71" s="22" t="n">
        <f aca="false">G71-H71</f>
        <v>6920</v>
      </c>
      <c r="K71" s="16" t="n">
        <f aca="false">IF(AND(J71&gt;0,Assumptions!$B$2&gt;F71),Assumptions!$B$2-F71,0)</f>
        <v>0</v>
      </c>
      <c r="L71" s="16" t="str">
        <f aca="false">IF(J71&lt;=0,"Paid",IF(K71=0,"Not due",IF(K71&lt;=30,"1-30",IF(K71&lt;=60,"31-60",IF(K71&lt;=90,"61-90","90+")))))</f>
        <v>Not due</v>
      </c>
      <c r="M71" s="16" t="str">
        <f aca="false">IF(AND(J71&lt;=0,I71&lt;&gt;""),I71-D71,"")</f>
        <v/>
      </c>
    </row>
    <row r="72" customFormat="false" ht="15" hidden="false" customHeight="false" outlineLevel="0" collapsed="false">
      <c r="A72" s="17" t="s">
        <v>165</v>
      </c>
      <c r="B72" s="17" t="s">
        <v>58</v>
      </c>
      <c r="C72" s="19" t="str">
        <f aca="false">INDEX(Customers!$B$2:$B$11,MATCH(B72,Customers!$A$2:$A$11,0))</f>
        <v>Gulf Infra Projects</v>
      </c>
      <c r="D72" s="20" t="n">
        <v>45986</v>
      </c>
      <c r="E72" s="19" t="n">
        <f aca="false">INDEX(Customers!$D$2:$D$11,MATCH(B72,Customers!$A$2:$A$11,0))</f>
        <v>45</v>
      </c>
      <c r="F72" s="21" t="n">
        <f aca="false">D72+E72</f>
        <v>46031</v>
      </c>
      <c r="G72" s="18" t="n">
        <v>42090</v>
      </c>
      <c r="H72" s="18" t="n">
        <v>0</v>
      </c>
      <c r="I72" s="20"/>
      <c r="J72" s="22" t="n">
        <f aca="false">G72-H72</f>
        <v>42090</v>
      </c>
      <c r="K72" s="16" t="n">
        <f aca="false">IF(AND(J72&gt;0,Assumptions!$B$2&gt;F72),Assumptions!$B$2-F72,0)</f>
        <v>0</v>
      </c>
      <c r="L72" s="16" t="str">
        <f aca="false">IF(J72&lt;=0,"Paid",IF(K72=0,"Not due",IF(K72&lt;=30,"1-30",IF(K72&lt;=60,"31-60",IF(K72&lt;=90,"61-90","90+")))))</f>
        <v>Not due</v>
      </c>
      <c r="M72" s="16" t="str">
        <f aca="false">IF(AND(J72&lt;=0,I72&lt;&gt;""),I72-D72,"")</f>
        <v/>
      </c>
    </row>
    <row r="73" customFormat="false" ht="15" hidden="false" customHeight="false" outlineLevel="0" collapsed="false">
      <c r="A73" s="17" t="s">
        <v>166</v>
      </c>
      <c r="B73" s="17" t="s">
        <v>67</v>
      </c>
      <c r="C73" s="19" t="str">
        <f aca="false">INDEX(Customers!$B$2:$B$11,MATCH(B73,Customers!$A$2:$A$11,0))</f>
        <v>BlueWave Telecom</v>
      </c>
      <c r="D73" s="20" t="n">
        <v>45989</v>
      </c>
      <c r="E73" s="19" t="n">
        <f aca="false">INDEX(Customers!$D$2:$D$11,MATCH(B73,Customers!$A$2:$A$11,0))</f>
        <v>45</v>
      </c>
      <c r="F73" s="21" t="n">
        <f aca="false">D73+E73</f>
        <v>46034</v>
      </c>
      <c r="G73" s="18" t="n">
        <v>13340</v>
      </c>
      <c r="H73" s="18" t="n">
        <v>0</v>
      </c>
      <c r="I73" s="20"/>
      <c r="J73" s="22" t="n">
        <f aca="false">G73-H73</f>
        <v>13340</v>
      </c>
      <c r="K73" s="16" t="n">
        <f aca="false">IF(AND(J73&gt;0,Assumptions!$B$2&gt;F73),Assumptions!$B$2-F73,0)</f>
        <v>0</v>
      </c>
      <c r="L73" s="16" t="str">
        <f aca="false">IF(J73&lt;=0,"Paid",IF(K73=0,"Not due",IF(K73&lt;=30,"1-30",IF(K73&lt;=60,"31-60",IF(K73&lt;=90,"61-90","90+")))))</f>
        <v>Not due</v>
      </c>
      <c r="M73" s="16" t="str">
        <f aca="false">IF(AND(J73&lt;=0,I73&lt;&gt;""),I73-D73,"")</f>
        <v/>
      </c>
    </row>
    <row r="74" customFormat="false" ht="15" hidden="false" customHeight="false" outlineLevel="0" collapsed="false">
      <c r="A74" s="17" t="s">
        <v>167</v>
      </c>
      <c r="B74" s="17" t="s">
        <v>76</v>
      </c>
      <c r="C74" s="19" t="str">
        <f aca="false">INDEX(Customers!$B$2:$B$11,MATCH(B74,Customers!$A$2:$A$11,0))</f>
        <v>Coastal Roads Authority</v>
      </c>
      <c r="D74" s="20" t="n">
        <v>45989</v>
      </c>
      <c r="E74" s="19" t="n">
        <f aca="false">INDEX(Customers!$D$2:$D$11,MATCH(B74,Customers!$A$2:$A$11,0))</f>
        <v>90</v>
      </c>
      <c r="F74" s="21" t="n">
        <f aca="false">D74+E74</f>
        <v>46079</v>
      </c>
      <c r="G74" s="18" t="n">
        <v>8330</v>
      </c>
      <c r="H74" s="18" t="n">
        <v>0</v>
      </c>
      <c r="I74" s="20"/>
      <c r="J74" s="22" t="n">
        <f aca="false">G74-H74</f>
        <v>8330</v>
      </c>
      <c r="K74" s="16" t="n">
        <f aca="false">IF(AND(J74&gt;0,Assumptions!$B$2&gt;F74),Assumptions!$B$2-F74,0)</f>
        <v>0</v>
      </c>
      <c r="L74" s="16" t="str">
        <f aca="false">IF(J74&lt;=0,"Paid",IF(K74=0,"Not due",IF(K74&lt;=30,"1-30",IF(K74&lt;=60,"31-60",IF(K74&lt;=90,"61-90","90+")))))</f>
        <v>Not due</v>
      </c>
      <c r="M74" s="16" t="str">
        <f aca="false">IF(AND(J74&lt;=0,I74&lt;&gt;""),I74-D74,"")</f>
        <v/>
      </c>
    </row>
    <row r="75" customFormat="false" ht="15" hidden="false" customHeight="false" outlineLevel="0" collapsed="false">
      <c r="A75" s="17" t="s">
        <v>168</v>
      </c>
      <c r="B75" s="17" t="s">
        <v>79</v>
      </c>
      <c r="C75" s="19" t="str">
        <f aca="false">INDEX(Customers!$B$2:$B$11,MATCH(B75,Customers!$A$2:$A$11,0))</f>
        <v>Prime Events</v>
      </c>
      <c r="D75" s="20" t="n">
        <v>45992</v>
      </c>
      <c r="E75" s="19" t="n">
        <f aca="false">INDEX(Customers!$D$2:$D$11,MATCH(B75,Customers!$A$2:$A$11,0))</f>
        <v>15</v>
      </c>
      <c r="F75" s="21" t="n">
        <f aca="false">D75+E75</f>
        <v>46007</v>
      </c>
      <c r="G75" s="18" t="n">
        <v>16320</v>
      </c>
      <c r="H75" s="18" t="n">
        <v>16320</v>
      </c>
      <c r="I75" s="20" t="n">
        <v>46015</v>
      </c>
      <c r="J75" s="22" t="n">
        <f aca="false">G75-H75</f>
        <v>0</v>
      </c>
      <c r="K75" s="16" t="n">
        <f aca="false">IF(AND(J75&gt;0,Assumptions!$B$2&gt;F75),Assumptions!$B$2-F75,0)</f>
        <v>0</v>
      </c>
      <c r="L75" s="16" t="str">
        <f aca="false">IF(J75&lt;=0,"Paid",IF(K75=0,"Not due",IF(K75&lt;=30,"1-30",IF(K75&lt;=60,"31-60",IF(K75&lt;=90,"61-90","90+")))))</f>
        <v>Paid</v>
      </c>
      <c r="M75" s="16" t="n">
        <f aca="false">IF(AND(J75&lt;=0,I75&lt;&gt;""),I75-D75,"")</f>
        <v>23</v>
      </c>
    </row>
    <row r="76" customFormat="false" ht="15" hidden="false" customHeight="false" outlineLevel="0" collapsed="false">
      <c r="A76" s="17" t="s">
        <v>169</v>
      </c>
      <c r="B76" s="17" t="s">
        <v>67</v>
      </c>
      <c r="C76" s="19" t="str">
        <f aca="false">INDEX(Customers!$B$2:$B$11,MATCH(B76,Customers!$A$2:$A$11,0))</f>
        <v>BlueWave Telecom</v>
      </c>
      <c r="D76" s="20" t="n">
        <v>45992</v>
      </c>
      <c r="E76" s="19" t="n">
        <f aca="false">INDEX(Customers!$D$2:$D$11,MATCH(B76,Customers!$A$2:$A$11,0))</f>
        <v>45</v>
      </c>
      <c r="F76" s="21" t="n">
        <f aca="false">D76+E76</f>
        <v>46037</v>
      </c>
      <c r="G76" s="18" t="n">
        <v>8440</v>
      </c>
      <c r="H76" s="18" t="n">
        <v>0</v>
      </c>
      <c r="I76" s="20"/>
      <c r="J76" s="22" t="n">
        <f aca="false">G76-H76</f>
        <v>8440</v>
      </c>
      <c r="K76" s="16" t="n">
        <f aca="false">IF(AND(J76&gt;0,Assumptions!$B$2&gt;F76),Assumptions!$B$2-F76,0)</f>
        <v>0</v>
      </c>
      <c r="L76" s="16" t="str">
        <f aca="false">IF(J76&lt;=0,"Paid",IF(K76=0,"Not due",IF(K76&lt;=30,"1-30",IF(K76&lt;=60,"31-60",IF(K76&lt;=90,"61-90","90+")))))</f>
        <v>Not due</v>
      </c>
      <c r="M76" s="16" t="str">
        <f aca="false">IF(AND(J76&lt;=0,I76&lt;&gt;""),I76-D76,"")</f>
        <v/>
      </c>
    </row>
    <row r="77" customFormat="false" ht="15" hidden="false" customHeight="false" outlineLevel="0" collapsed="false">
      <c r="A77" s="17" t="s">
        <v>170</v>
      </c>
      <c r="B77" s="17" t="s">
        <v>61</v>
      </c>
      <c r="C77" s="19" t="str">
        <f aca="false">INDEX(Customers!$B$2:$B$11,MATCH(B77,Customers!$A$2:$A$11,0))</f>
        <v>Metro Utilities Co</v>
      </c>
      <c r="D77" s="20" t="n">
        <v>45995</v>
      </c>
      <c r="E77" s="19" t="n">
        <f aca="false">INDEX(Customers!$D$2:$D$11,MATCH(B77,Customers!$A$2:$A$11,0))</f>
        <v>60</v>
      </c>
      <c r="F77" s="21" t="n">
        <f aca="false">D77+E77</f>
        <v>46055</v>
      </c>
      <c r="G77" s="18" t="n">
        <v>12540</v>
      </c>
      <c r="H77" s="18" t="n">
        <v>0</v>
      </c>
      <c r="I77" s="20"/>
      <c r="J77" s="22" t="n">
        <f aca="false">G77-H77</f>
        <v>12540</v>
      </c>
      <c r="K77" s="16" t="n">
        <f aca="false">IF(AND(J77&gt;0,Assumptions!$B$2&gt;F77),Assumptions!$B$2-F77,0)</f>
        <v>0</v>
      </c>
      <c r="L77" s="16" t="str">
        <f aca="false">IF(J77&lt;=0,"Paid",IF(K77=0,"Not due",IF(K77&lt;=30,"1-30",IF(K77&lt;=60,"31-60",IF(K77&lt;=90,"61-90","90+")))))</f>
        <v>Not due</v>
      </c>
      <c r="M77" s="16" t="str">
        <f aca="false">IF(AND(J77&lt;=0,I77&lt;&gt;""),I77-D77,"")</f>
        <v/>
      </c>
    </row>
    <row r="78" customFormat="false" ht="15" hidden="false" customHeight="false" outlineLevel="0" collapsed="false">
      <c r="A78" s="17" t="s">
        <v>171</v>
      </c>
      <c r="B78" s="17" t="s">
        <v>70</v>
      </c>
      <c r="C78" s="19" t="str">
        <f aca="false">INDEX(Customers!$B$2:$B$11,MATCH(B78,Customers!$A$2:$A$11,0))</f>
        <v>Harbor Developers</v>
      </c>
      <c r="D78" s="20" t="n">
        <v>45998</v>
      </c>
      <c r="E78" s="19" t="n">
        <f aca="false">INDEX(Customers!$D$2:$D$11,MATCH(B78,Customers!$A$2:$A$11,0))</f>
        <v>60</v>
      </c>
      <c r="F78" s="21" t="n">
        <f aca="false">D78+E78</f>
        <v>46058</v>
      </c>
      <c r="G78" s="18" t="n">
        <v>33390</v>
      </c>
      <c r="H78" s="18" t="n">
        <v>0</v>
      </c>
      <c r="I78" s="20"/>
      <c r="J78" s="22" t="n">
        <f aca="false">G78-H78</f>
        <v>33390</v>
      </c>
      <c r="K78" s="16" t="n">
        <f aca="false">IF(AND(J78&gt;0,Assumptions!$B$2&gt;F78),Assumptions!$B$2-F78,0)</f>
        <v>0</v>
      </c>
      <c r="L78" s="16" t="str">
        <f aca="false">IF(J78&lt;=0,"Paid",IF(K78=0,"Not due",IF(K78&lt;=30,"1-30",IF(K78&lt;=60,"31-60",IF(K78&lt;=90,"61-90","90+")))))</f>
        <v>Not due</v>
      </c>
      <c r="M78" s="16" t="str">
        <f aca="false">IF(AND(J78&lt;=0,I78&lt;&gt;""),I78-D78,"")</f>
        <v/>
      </c>
    </row>
    <row r="79" customFormat="false" ht="15" hidden="false" customHeight="false" outlineLevel="0" collapsed="false">
      <c r="A79" s="17" t="s">
        <v>172</v>
      </c>
      <c r="B79" s="17" t="s">
        <v>76</v>
      </c>
      <c r="C79" s="19" t="str">
        <f aca="false">INDEX(Customers!$B$2:$B$11,MATCH(B79,Customers!$A$2:$A$11,0))</f>
        <v>Coastal Roads Authority</v>
      </c>
      <c r="D79" s="20" t="n">
        <v>45998</v>
      </c>
      <c r="E79" s="19" t="n">
        <f aca="false">INDEX(Customers!$D$2:$D$11,MATCH(B79,Customers!$A$2:$A$11,0))</f>
        <v>90</v>
      </c>
      <c r="F79" s="21" t="n">
        <f aca="false">D79+E79</f>
        <v>46088</v>
      </c>
      <c r="G79" s="18" t="n">
        <v>33700</v>
      </c>
      <c r="H79" s="18" t="n">
        <v>0</v>
      </c>
      <c r="I79" s="20"/>
      <c r="J79" s="22" t="n">
        <f aca="false">G79-H79</f>
        <v>33700</v>
      </c>
      <c r="K79" s="16" t="n">
        <f aca="false">IF(AND(J79&gt;0,Assumptions!$B$2&gt;F79),Assumptions!$B$2-F79,0)</f>
        <v>0</v>
      </c>
      <c r="L79" s="16" t="str">
        <f aca="false">IF(J79&lt;=0,"Paid",IF(K79=0,"Not due",IF(K79&lt;=30,"1-30",IF(K79&lt;=60,"31-60",IF(K79&lt;=90,"61-90","90+")))))</f>
        <v>Not due</v>
      </c>
      <c r="M79" s="16" t="str">
        <f aca="false">IF(AND(J79&lt;=0,I79&lt;&gt;""),I79-D79,"")</f>
        <v/>
      </c>
    </row>
    <row r="80" customFormat="false" ht="15" hidden="false" customHeight="false" outlineLevel="0" collapsed="false">
      <c r="A80" s="17" t="s">
        <v>173</v>
      </c>
      <c r="B80" s="17" t="s">
        <v>79</v>
      </c>
      <c r="C80" s="19" t="str">
        <f aca="false">INDEX(Customers!$B$2:$B$11,MATCH(B80,Customers!$A$2:$A$11,0))</f>
        <v>Prime Events</v>
      </c>
      <c r="D80" s="20" t="n">
        <v>46001</v>
      </c>
      <c r="E80" s="19" t="n">
        <f aca="false">INDEX(Customers!$D$2:$D$11,MATCH(B80,Customers!$A$2:$A$11,0))</f>
        <v>15</v>
      </c>
      <c r="F80" s="21" t="n">
        <f aca="false">D80+E80</f>
        <v>46016</v>
      </c>
      <c r="G80" s="18" t="n">
        <v>29190</v>
      </c>
      <c r="H80" s="18" t="n">
        <v>21890</v>
      </c>
      <c r="I80" s="20" t="n">
        <v>46016</v>
      </c>
      <c r="J80" s="22" t="n">
        <f aca="false">G80-H80</f>
        <v>7300</v>
      </c>
      <c r="K80" s="16" t="n">
        <f aca="false">IF(AND(J80&gt;0,Assumptions!$B$2&gt;F80),Assumptions!$B$2-F80,0)</f>
        <v>6</v>
      </c>
      <c r="L80" s="16" t="str">
        <f aca="false">IF(J80&lt;=0,"Paid",IF(K80=0,"Not due",IF(K80&lt;=30,"1-30",IF(K80&lt;=60,"31-60",IF(K80&lt;=90,"61-90","90+")))))</f>
        <v>1-30</v>
      </c>
      <c r="M80" s="16" t="str">
        <f aca="false">IF(AND(J80&lt;=0,I80&lt;&gt;""),I80-D80,"")</f>
        <v/>
      </c>
    </row>
    <row r="81" customFormat="false" ht="15" hidden="false" customHeight="false" outlineLevel="0" collapsed="false">
      <c r="A81" s="17" t="s">
        <v>174</v>
      </c>
      <c r="B81" s="17" t="s">
        <v>79</v>
      </c>
      <c r="C81" s="19" t="str">
        <f aca="false">INDEX(Customers!$B$2:$B$11,MATCH(B81,Customers!$A$2:$A$11,0))</f>
        <v>Prime Events</v>
      </c>
      <c r="D81" s="20" t="n">
        <v>46004</v>
      </c>
      <c r="E81" s="19" t="n">
        <f aca="false">INDEX(Customers!$D$2:$D$11,MATCH(B81,Customers!$A$2:$A$11,0))</f>
        <v>15</v>
      </c>
      <c r="F81" s="21" t="n">
        <f aca="false">D81+E81</f>
        <v>46019</v>
      </c>
      <c r="G81" s="18" t="n">
        <v>28860</v>
      </c>
      <c r="H81" s="18" t="n">
        <v>28860</v>
      </c>
      <c r="I81" s="20" t="n">
        <v>46014</v>
      </c>
      <c r="J81" s="22" t="n">
        <f aca="false">G81-H81</f>
        <v>0</v>
      </c>
      <c r="K81" s="16" t="n">
        <f aca="false">IF(AND(J81&gt;0,Assumptions!$B$2&gt;F81),Assumptions!$B$2-F81,0)</f>
        <v>0</v>
      </c>
      <c r="L81" s="16" t="str">
        <f aca="false">IF(J81&lt;=0,"Paid",IF(K81=0,"Not due",IF(K81&lt;=30,"1-30",IF(K81&lt;=60,"31-60",IF(K81&lt;=90,"61-90","90+")))))</f>
        <v>Paid</v>
      </c>
      <c r="M81" s="16" t="n">
        <f aca="false">IF(AND(J81&lt;=0,I81&lt;&gt;""),I81-D81,"")</f>
        <v>10</v>
      </c>
    </row>
    <row r="82" customFormat="false" ht="15" hidden="false" customHeight="false" outlineLevel="0" collapsed="false">
      <c r="A82" s="17" t="s">
        <v>175</v>
      </c>
      <c r="B82" s="17" t="s">
        <v>79</v>
      </c>
      <c r="C82" s="19" t="str">
        <f aca="false">INDEX(Customers!$B$2:$B$11,MATCH(B82,Customers!$A$2:$A$11,0))</f>
        <v>Prime Events</v>
      </c>
      <c r="D82" s="20" t="n">
        <v>46004</v>
      </c>
      <c r="E82" s="19" t="n">
        <f aca="false">INDEX(Customers!$D$2:$D$11,MATCH(B82,Customers!$A$2:$A$11,0))</f>
        <v>15</v>
      </c>
      <c r="F82" s="21" t="n">
        <f aca="false">D82+E82</f>
        <v>46019</v>
      </c>
      <c r="G82" s="18" t="n">
        <v>29820</v>
      </c>
      <c r="H82" s="18" t="n">
        <v>29820</v>
      </c>
      <c r="I82" s="20" t="n">
        <v>46014</v>
      </c>
      <c r="J82" s="22" t="n">
        <f aca="false">G82-H82</f>
        <v>0</v>
      </c>
      <c r="K82" s="16" t="n">
        <f aca="false">IF(AND(J82&gt;0,Assumptions!$B$2&gt;F82),Assumptions!$B$2-F82,0)</f>
        <v>0</v>
      </c>
      <c r="L82" s="16" t="str">
        <f aca="false">IF(J82&lt;=0,"Paid",IF(K82=0,"Not due",IF(K82&lt;=30,"1-30",IF(K82&lt;=60,"31-60",IF(K82&lt;=90,"61-90","90+")))))</f>
        <v>Paid</v>
      </c>
      <c r="M82" s="16" t="n">
        <f aca="false">IF(AND(J82&lt;=0,I82&lt;&gt;""),I82-D82,"")</f>
        <v>10</v>
      </c>
    </row>
    <row r="83" customFormat="false" ht="15" hidden="false" customHeight="false" outlineLevel="0" collapsed="false">
      <c r="A83" s="17" t="s">
        <v>176</v>
      </c>
      <c r="B83" s="17" t="s">
        <v>70</v>
      </c>
      <c r="C83" s="19" t="str">
        <f aca="false">INDEX(Customers!$B$2:$B$11,MATCH(B83,Customers!$A$2:$A$11,0))</f>
        <v>Harbor Developers</v>
      </c>
      <c r="D83" s="20" t="n">
        <v>46007</v>
      </c>
      <c r="E83" s="19" t="n">
        <f aca="false">INDEX(Customers!$D$2:$D$11,MATCH(B83,Customers!$A$2:$A$11,0))</f>
        <v>60</v>
      </c>
      <c r="F83" s="21" t="n">
        <f aca="false">D83+E83</f>
        <v>46067</v>
      </c>
      <c r="G83" s="18" t="n">
        <v>40910</v>
      </c>
      <c r="H83" s="18" t="n">
        <v>0</v>
      </c>
      <c r="I83" s="20"/>
      <c r="J83" s="22" t="n">
        <f aca="false">G83-H83</f>
        <v>40910</v>
      </c>
      <c r="K83" s="16" t="n">
        <f aca="false">IF(AND(J83&gt;0,Assumptions!$B$2&gt;F83),Assumptions!$B$2-F83,0)</f>
        <v>0</v>
      </c>
      <c r="L83" s="16" t="str">
        <f aca="false">IF(J83&lt;=0,"Paid",IF(K83=0,"Not due",IF(K83&lt;=30,"1-30",IF(K83&lt;=60,"31-60",IF(K83&lt;=90,"61-90","90+")))))</f>
        <v>Not due</v>
      </c>
      <c r="M83" s="16" t="str">
        <f aca="false">IF(AND(J83&lt;=0,I83&lt;&gt;""),I83-D83,"")</f>
        <v/>
      </c>
    </row>
    <row r="84" customFormat="false" ht="15" hidden="false" customHeight="false" outlineLevel="0" collapsed="false">
      <c r="A84" s="17" t="s">
        <v>177</v>
      </c>
      <c r="B84" s="17" t="s">
        <v>82</v>
      </c>
      <c r="C84" s="19" t="str">
        <f aca="false">INDEX(Customers!$B$2:$B$11,MATCH(B84,Customers!$A$2:$A$11,0))</f>
        <v>Oasis Retail Group</v>
      </c>
      <c r="D84" s="20" t="n">
        <v>46010</v>
      </c>
      <c r="E84" s="19" t="n">
        <f aca="false">INDEX(Customers!$D$2:$D$11,MATCH(B84,Customers!$A$2:$A$11,0))</f>
        <v>30</v>
      </c>
      <c r="F84" s="21" t="n">
        <f aca="false">D84+E84</f>
        <v>46040</v>
      </c>
      <c r="G84" s="18" t="n">
        <v>16230</v>
      </c>
      <c r="H84" s="18" t="n">
        <v>0</v>
      </c>
      <c r="I84" s="20"/>
      <c r="J84" s="22" t="n">
        <f aca="false">G84-H84</f>
        <v>16230</v>
      </c>
      <c r="K84" s="16" t="n">
        <f aca="false">IF(AND(J84&gt;0,Assumptions!$B$2&gt;F84),Assumptions!$B$2-F84,0)</f>
        <v>0</v>
      </c>
      <c r="L84" s="16" t="str">
        <f aca="false">IF(J84&lt;=0,"Paid",IF(K84=0,"Not due",IF(K84&lt;=30,"1-30",IF(K84&lt;=60,"31-60",IF(K84&lt;=90,"61-90","90+")))))</f>
        <v>Not due</v>
      </c>
      <c r="M84" s="16" t="str">
        <f aca="false">IF(AND(J84&lt;=0,I84&lt;&gt;""),I84-D84,"")</f>
        <v/>
      </c>
    </row>
    <row r="85" customFormat="false" ht="15" hidden="false" customHeight="false" outlineLevel="0" collapsed="false">
      <c r="A85" s="17" t="s">
        <v>178</v>
      </c>
      <c r="B85" s="17" t="s">
        <v>64</v>
      </c>
      <c r="C85" s="19" t="str">
        <f aca="false">INDEX(Customers!$B$2:$B$11,MATCH(B85,Customers!$A$2:$A$11,0))</f>
        <v>Desert Logistics</v>
      </c>
      <c r="D85" s="20" t="n">
        <v>46010</v>
      </c>
      <c r="E85" s="19" t="n">
        <f aca="false">INDEX(Customers!$D$2:$D$11,MATCH(B85,Customers!$A$2:$A$11,0))</f>
        <v>30</v>
      </c>
      <c r="F85" s="21" t="n">
        <f aca="false">D85+E85</f>
        <v>46040</v>
      </c>
      <c r="G85" s="18" t="n">
        <v>40280</v>
      </c>
      <c r="H85" s="18" t="n">
        <v>0</v>
      </c>
      <c r="I85" s="20"/>
      <c r="J85" s="22" t="n">
        <f aca="false">G85-H85</f>
        <v>40280</v>
      </c>
      <c r="K85" s="16" t="n">
        <f aca="false">IF(AND(J85&gt;0,Assumptions!$B$2&gt;F85),Assumptions!$B$2-F85,0)</f>
        <v>0</v>
      </c>
      <c r="L85" s="16" t="str">
        <f aca="false">IF(J85&lt;=0,"Paid",IF(K85=0,"Not due",IF(K85&lt;=30,"1-30",IF(K85&lt;=60,"31-60",IF(K85&lt;=90,"61-90","90+")))))</f>
        <v>Not due</v>
      </c>
      <c r="M85" s="16" t="str">
        <f aca="false">IF(AND(J85&lt;=0,I85&lt;&gt;""),I85-D85,"")</f>
        <v/>
      </c>
    </row>
    <row r="86" customFormat="false" ht="15" hidden="false" customHeight="false" outlineLevel="0" collapsed="false">
      <c r="A86" s="17" t="s">
        <v>179</v>
      </c>
      <c r="B86" s="17" t="s">
        <v>64</v>
      </c>
      <c r="C86" s="19" t="str">
        <f aca="false">INDEX(Customers!$B$2:$B$11,MATCH(B86,Customers!$A$2:$A$11,0))</f>
        <v>Desert Logistics</v>
      </c>
      <c r="D86" s="20" t="n">
        <v>46013</v>
      </c>
      <c r="E86" s="19" t="n">
        <f aca="false">INDEX(Customers!$D$2:$D$11,MATCH(B86,Customers!$A$2:$A$11,0))</f>
        <v>30</v>
      </c>
      <c r="F86" s="21" t="n">
        <f aca="false">D86+E86</f>
        <v>46043</v>
      </c>
      <c r="G86" s="18" t="n">
        <v>8570</v>
      </c>
      <c r="H86" s="18" t="n">
        <v>0</v>
      </c>
      <c r="I86" s="20"/>
      <c r="J86" s="22" t="n">
        <f aca="false">G86-H86</f>
        <v>8570</v>
      </c>
      <c r="K86" s="16" t="n">
        <f aca="false">IF(AND(J86&gt;0,Assumptions!$B$2&gt;F86),Assumptions!$B$2-F86,0)</f>
        <v>0</v>
      </c>
      <c r="L86" s="16" t="str">
        <f aca="false">IF(J86&lt;=0,"Paid",IF(K86=0,"Not due",IF(K86&lt;=30,"1-30",IF(K86&lt;=60,"31-60",IF(K86&lt;=90,"61-90","90+")))))</f>
        <v>Not due</v>
      </c>
      <c r="M86" s="16" t="str">
        <f aca="false">IF(AND(J86&lt;=0,I86&lt;&gt;""),I86-D86,"")</f>
        <v/>
      </c>
    </row>
    <row r="87" customFormat="false" ht="15" hidden="false" customHeight="false" outlineLevel="0" collapsed="false">
      <c r="A87" s="17" t="s">
        <v>180</v>
      </c>
      <c r="B87" s="17" t="s">
        <v>73</v>
      </c>
      <c r="C87" s="19" t="str">
        <f aca="false">INDEX(Customers!$B$2:$B$11,MATCH(B87,Customers!$A$2:$A$11,0))</f>
        <v>Sunrise Facilities</v>
      </c>
      <c r="D87" s="20" t="n">
        <v>46016</v>
      </c>
      <c r="E87" s="19" t="n">
        <f aca="false">INDEX(Customers!$D$2:$D$11,MATCH(B87,Customers!$A$2:$A$11,0))</f>
        <v>30</v>
      </c>
      <c r="F87" s="21" t="n">
        <f aca="false">D87+E87</f>
        <v>46046</v>
      </c>
      <c r="G87" s="18" t="n">
        <v>25820</v>
      </c>
      <c r="H87" s="18" t="n">
        <v>0</v>
      </c>
      <c r="I87" s="20"/>
      <c r="J87" s="22" t="n">
        <f aca="false">G87-H87</f>
        <v>25820</v>
      </c>
      <c r="K87" s="16" t="n">
        <f aca="false">IF(AND(J87&gt;0,Assumptions!$B$2&gt;F87),Assumptions!$B$2-F87,0)</f>
        <v>0</v>
      </c>
      <c r="L87" s="16" t="str">
        <f aca="false">IF(J87&lt;=0,"Paid",IF(K87=0,"Not due",IF(K87&lt;=30,"1-30",IF(K87&lt;=60,"31-60",IF(K87&lt;=90,"61-90","90+")))))</f>
        <v>Not due</v>
      </c>
      <c r="M87" s="16" t="str">
        <f aca="false">IF(AND(J87&lt;=0,I87&lt;&gt;""),I87-D87,"")</f>
        <v/>
      </c>
    </row>
    <row r="88" customFormat="false" ht="15" hidden="false" customHeight="false" outlineLevel="0" collapsed="false">
      <c r="A88" s="17" t="s">
        <v>181</v>
      </c>
      <c r="B88" s="17" t="s">
        <v>61</v>
      </c>
      <c r="C88" s="19" t="str">
        <f aca="false">INDEX(Customers!$B$2:$B$11,MATCH(B88,Customers!$A$2:$A$11,0))</f>
        <v>Metro Utilities Co</v>
      </c>
      <c r="D88" s="20" t="n">
        <v>46016</v>
      </c>
      <c r="E88" s="19" t="n">
        <f aca="false">INDEX(Customers!$D$2:$D$11,MATCH(B88,Customers!$A$2:$A$11,0))</f>
        <v>60</v>
      </c>
      <c r="F88" s="21" t="n">
        <f aca="false">D88+E88</f>
        <v>46076</v>
      </c>
      <c r="G88" s="18" t="n">
        <v>11430</v>
      </c>
      <c r="H88" s="18" t="n">
        <v>0</v>
      </c>
      <c r="I88" s="20"/>
      <c r="J88" s="22" t="n">
        <f aca="false">G88-H88</f>
        <v>11430</v>
      </c>
      <c r="K88" s="16" t="n">
        <f aca="false">IF(AND(J88&gt;0,Assumptions!$B$2&gt;F88),Assumptions!$B$2-F88,0)</f>
        <v>0</v>
      </c>
      <c r="L88" s="16" t="str">
        <f aca="false">IF(J88&lt;=0,"Paid",IF(K88=0,"Not due",IF(K88&lt;=30,"1-30",IF(K88&lt;=60,"31-60",IF(K88&lt;=90,"61-90","90+")))))</f>
        <v>Not due</v>
      </c>
      <c r="M88" s="16" t="str">
        <f aca="false">IF(AND(J88&lt;=0,I88&lt;&gt;""),I88-D88,"")</f>
        <v/>
      </c>
    </row>
    <row r="89" customFormat="false" ht="15" hidden="false" customHeight="false" outlineLevel="0" collapsed="false">
      <c r="A89" s="17" t="s">
        <v>182</v>
      </c>
      <c r="B89" s="17" t="s">
        <v>64</v>
      </c>
      <c r="C89" s="19" t="str">
        <f aca="false">INDEX(Customers!$B$2:$B$11,MATCH(B89,Customers!$A$2:$A$11,0))</f>
        <v>Desert Logistics</v>
      </c>
      <c r="D89" s="20" t="n">
        <v>46019</v>
      </c>
      <c r="E89" s="19" t="n">
        <f aca="false">INDEX(Customers!$D$2:$D$11,MATCH(B89,Customers!$A$2:$A$11,0))</f>
        <v>30</v>
      </c>
      <c r="F89" s="21" t="n">
        <f aca="false">D89+E89</f>
        <v>46049</v>
      </c>
      <c r="G89" s="18" t="n">
        <v>26940</v>
      </c>
      <c r="H89" s="18" t="n">
        <v>0</v>
      </c>
      <c r="I89" s="20"/>
      <c r="J89" s="22" t="n">
        <f aca="false">G89-H89</f>
        <v>26940</v>
      </c>
      <c r="K89" s="16" t="n">
        <f aca="false">IF(AND(J89&gt;0,Assumptions!$B$2&gt;F89),Assumptions!$B$2-F89,0)</f>
        <v>0</v>
      </c>
      <c r="L89" s="16" t="str">
        <f aca="false">IF(J89&lt;=0,"Paid",IF(K89=0,"Not due",IF(K89&lt;=30,"1-30",IF(K89&lt;=60,"31-60",IF(K89&lt;=90,"61-90","90+")))))</f>
        <v>Not due</v>
      </c>
      <c r="M89" s="16" t="str">
        <f aca="false">IF(AND(J89&lt;=0,I89&lt;&gt;""),I89-D89,"")</f>
        <v/>
      </c>
    </row>
    <row r="90" customFormat="false" ht="15" hidden="false" customHeight="false" outlineLevel="0" collapsed="false">
      <c r="A90" s="17" t="s">
        <v>183</v>
      </c>
      <c r="B90" s="17" t="s">
        <v>70</v>
      </c>
      <c r="C90" s="19" t="str">
        <f aca="false">INDEX(Customers!$B$2:$B$11,MATCH(B90,Customers!$A$2:$A$11,0))</f>
        <v>Harbor Developers</v>
      </c>
      <c r="D90" s="20" t="n">
        <v>46022</v>
      </c>
      <c r="E90" s="19" t="n">
        <f aca="false">INDEX(Customers!$D$2:$D$11,MATCH(B90,Customers!$A$2:$A$11,0))</f>
        <v>60</v>
      </c>
      <c r="F90" s="21" t="n">
        <f aca="false">D90+E90</f>
        <v>46082</v>
      </c>
      <c r="G90" s="18" t="n">
        <v>7850</v>
      </c>
      <c r="H90" s="18" t="n">
        <v>0</v>
      </c>
      <c r="I90" s="20"/>
      <c r="J90" s="22" t="n">
        <f aca="false">G90-H90</f>
        <v>7850</v>
      </c>
      <c r="K90" s="16" t="n">
        <f aca="false">IF(AND(J90&gt;0,Assumptions!$B$2&gt;F90),Assumptions!$B$2-F90,0)</f>
        <v>0</v>
      </c>
      <c r="L90" s="16" t="str">
        <f aca="false">IF(J90&lt;=0,"Paid",IF(K90=0,"Not due",IF(K90&lt;=30,"1-30",IF(K90&lt;=60,"31-60",IF(K90&lt;=90,"61-90","90+")))))</f>
        <v>Not due</v>
      </c>
      <c r="M90" s="16" t="str">
        <f aca="false">IF(AND(J90&lt;=0,I90&lt;&gt;""),I90-D90,"")</f>
        <v/>
      </c>
    </row>
    <row r="91" customFormat="false" ht="15" hidden="false" customHeight="false" outlineLevel="0" collapsed="false">
      <c r="A91" s="17" t="s">
        <v>184</v>
      </c>
      <c r="B91" s="17" t="s">
        <v>79</v>
      </c>
      <c r="C91" s="19" t="str">
        <f aca="false">INDEX(Customers!$B$2:$B$11,MATCH(B91,Customers!$A$2:$A$11,0))</f>
        <v>Prime Events</v>
      </c>
      <c r="D91" s="20" t="n">
        <v>46022</v>
      </c>
      <c r="E91" s="19" t="n">
        <f aca="false">INDEX(Customers!$D$2:$D$11,MATCH(B91,Customers!$A$2:$A$11,0))</f>
        <v>15</v>
      </c>
      <c r="F91" s="21" t="n">
        <f aca="false">D91+E91</f>
        <v>46037</v>
      </c>
      <c r="G91" s="18" t="n">
        <v>44940</v>
      </c>
      <c r="H91" s="18" t="n">
        <v>0</v>
      </c>
      <c r="I91" s="20"/>
      <c r="J91" s="22" t="n">
        <f aca="false">G91-H91</f>
        <v>44940</v>
      </c>
      <c r="K91" s="16" t="n">
        <f aca="false">IF(AND(J91&gt;0,Assumptions!$B$2&gt;F91),Assumptions!$B$2-F91,0)</f>
        <v>0</v>
      </c>
      <c r="L91" s="16" t="str">
        <f aca="false">IF(J91&lt;=0,"Paid",IF(K91=0,"Not due",IF(K91&lt;=30,"1-30",IF(K91&lt;=60,"31-60",IF(K91&lt;=90,"61-90","90+")))))</f>
        <v>Not due</v>
      </c>
      <c r="M91" s="16" t="str">
        <f aca="false">IF(AND(J91&lt;=0,I91&lt;&gt;""),I91-D91,"")</f>
        <v/>
      </c>
    </row>
  </sheetData>
  <autoFilter ref="A1:M91"/>
  <dataValidations count="1">
    <dataValidation allowBlank="false" errorStyle="stop" operator="between" showDropDown="false" showErrorMessage="false" showInputMessage="false" sqref="B2:B91" type="list">
      <formula1>Customers!$A$2:$A$11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7" min="4" style="0" width="12"/>
    <col collapsed="false" customWidth="true" hidden="false" outlineLevel="0" max="9" min="8" style="0" width="14"/>
    <col collapsed="false" customWidth="true" hidden="false" outlineLevel="0" max="10" min="10" style="0" width="12"/>
    <col collapsed="false" customWidth="true" hidden="false" outlineLevel="0" max="11" min="11" style="0" width="16"/>
  </cols>
  <sheetData>
    <row r="1" customFormat="false" ht="16.15" hidden="false" customHeight="false" outlineLevel="0" collapsed="false">
      <c r="A1" s="23" t="s">
        <v>185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customFormat="false" ht="15" hidden="false" customHeight="false" outlineLevel="0" collapsed="false">
      <c r="A2" s="5" t="s">
        <v>186</v>
      </c>
      <c r="B2" s="24" t="n">
        <f aca="false">Assumptions!$B$2</f>
        <v>46022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customFormat="false" ht="26.85" hidden="false" customHeight="false" outlineLevel="0" collapsed="false">
      <c r="A4" s="11" t="s">
        <v>50</v>
      </c>
      <c r="B4" s="11" t="s">
        <v>51</v>
      </c>
      <c r="C4" s="11" t="s">
        <v>45</v>
      </c>
      <c r="D4" s="11" t="s">
        <v>46</v>
      </c>
      <c r="E4" s="11" t="s">
        <v>47</v>
      </c>
      <c r="F4" s="11" t="s">
        <v>48</v>
      </c>
      <c r="G4" s="11" t="s">
        <v>49</v>
      </c>
      <c r="H4" s="11" t="s">
        <v>17</v>
      </c>
      <c r="I4" s="11" t="s">
        <v>54</v>
      </c>
      <c r="J4" s="11" t="s">
        <v>187</v>
      </c>
      <c r="K4" s="11" t="s">
        <v>188</v>
      </c>
    </row>
    <row r="5" customFormat="false" ht="15" hidden="false" customHeight="false" outlineLevel="0" collapsed="false">
      <c r="A5" s="19" t="str">
        <f aca="false">Customers!A2</f>
        <v>C001</v>
      </c>
      <c r="B5" s="19" t="str">
        <f aca="false">Customers!B2</f>
        <v>Al Noor Construction</v>
      </c>
      <c r="C5" s="25" t="n">
        <f aca="false">SUMIFS(Invoices!$J$2:$J$91,Invoices!$B$2:$B$91,$A5,Invoices!$L$2:$L$91,"Not due")</f>
        <v>0</v>
      </c>
      <c r="D5" s="25" t="n">
        <f aca="false">SUMIFS(Invoices!$J$2:$J$91,Invoices!$B$2:$B$91,$A5,Invoices!$L$2:$L$91,"1-30")</f>
        <v>0</v>
      </c>
      <c r="E5" s="25" t="n">
        <f aca="false">SUMIFS(Invoices!$J$2:$J$91,Invoices!$B$2:$B$91,$A5,Invoices!$L$2:$L$91,"31-60")</f>
        <v>0</v>
      </c>
      <c r="F5" s="25" t="n">
        <f aca="false">SUMIFS(Invoices!$J$2:$J$91,Invoices!$B$2:$B$91,$A5,Invoices!$L$2:$L$91,"61-90")</f>
        <v>0</v>
      </c>
      <c r="G5" s="25" t="n">
        <f aca="false">SUMIFS(Invoices!$J$2:$J$91,Invoices!$B$2:$B$91,$A5,Invoices!$L$2:$L$91,"90+")</f>
        <v>21750</v>
      </c>
      <c r="H5" s="25" t="n">
        <f aca="false">SUM(C5:G5)</f>
        <v>21750</v>
      </c>
      <c r="I5" s="26" t="n">
        <f aca="false">Customers!E2</f>
        <v>150000</v>
      </c>
      <c r="J5" s="27" t="n">
        <f aca="false">IF(H5=0,0,SUM(D5:G5)/H5)</f>
        <v>1</v>
      </c>
      <c r="K5" s="28" t="str">
        <f aca="false">IF(H5&gt;I5,"Over limit",IF(G5&gt;0,"Review 90+","OK"))</f>
        <v>Review 90+</v>
      </c>
    </row>
    <row r="6" customFormat="false" ht="15" hidden="false" customHeight="false" outlineLevel="0" collapsed="false">
      <c r="A6" s="19" t="str">
        <f aca="false">Customers!A3</f>
        <v>C002</v>
      </c>
      <c r="B6" s="19" t="str">
        <f aca="false">Customers!B3</f>
        <v>Gulf Infra Projects</v>
      </c>
      <c r="C6" s="25" t="n">
        <f aca="false">SUMIFS(Invoices!$J$2:$J$91,Invoices!$B$2:$B$91,$A6,Invoices!$L$2:$L$91,"Not due")</f>
        <v>42090</v>
      </c>
      <c r="D6" s="25" t="n">
        <f aca="false">SUMIFS(Invoices!$J$2:$J$91,Invoices!$B$2:$B$91,$A6,Invoices!$L$2:$L$91,"1-30")</f>
        <v>0</v>
      </c>
      <c r="E6" s="25" t="n">
        <f aca="false">SUMIFS(Invoices!$J$2:$J$91,Invoices!$B$2:$B$91,$A6,Invoices!$L$2:$L$91,"31-60")</f>
        <v>9550</v>
      </c>
      <c r="F6" s="25" t="n">
        <f aca="false">SUMIFS(Invoices!$J$2:$J$91,Invoices!$B$2:$B$91,$A6,Invoices!$L$2:$L$91,"61-90")</f>
        <v>0</v>
      </c>
      <c r="G6" s="25" t="n">
        <f aca="false">SUMIFS(Invoices!$J$2:$J$91,Invoices!$B$2:$B$91,$A6,Invoices!$L$2:$L$91,"90+")</f>
        <v>0</v>
      </c>
      <c r="H6" s="25" t="n">
        <f aca="false">SUM(C6:G6)</f>
        <v>51640</v>
      </c>
      <c r="I6" s="26" t="n">
        <f aca="false">Customers!E3</f>
        <v>250000</v>
      </c>
      <c r="J6" s="27" t="n">
        <f aca="false">IF(H6=0,0,SUM(D6:G6)/H6)</f>
        <v>0.184934159566228</v>
      </c>
      <c r="K6" s="28" t="str">
        <f aca="false">IF(H6&gt;I6,"Over limit",IF(G6&gt;0,"Review 90+","OK"))</f>
        <v>OK</v>
      </c>
    </row>
    <row r="7" customFormat="false" ht="15" hidden="false" customHeight="false" outlineLevel="0" collapsed="false">
      <c r="A7" s="19" t="str">
        <f aca="false">Customers!A4</f>
        <v>C003</v>
      </c>
      <c r="B7" s="19" t="str">
        <f aca="false">Customers!B4</f>
        <v>Metro Utilities Co</v>
      </c>
      <c r="C7" s="25" t="n">
        <f aca="false">SUMIFS(Invoices!$J$2:$J$91,Invoices!$B$2:$B$91,$A7,Invoices!$L$2:$L$91,"Not due")</f>
        <v>23970</v>
      </c>
      <c r="D7" s="25" t="n">
        <f aca="false">SUMIFS(Invoices!$J$2:$J$91,Invoices!$B$2:$B$91,$A7,Invoices!$L$2:$L$91,"1-30")</f>
        <v>20020</v>
      </c>
      <c r="E7" s="25" t="n">
        <f aca="false">SUMIFS(Invoices!$J$2:$J$91,Invoices!$B$2:$B$91,$A7,Invoices!$L$2:$L$91,"31-60")</f>
        <v>36320</v>
      </c>
      <c r="F7" s="25" t="n">
        <f aca="false">SUMIFS(Invoices!$J$2:$J$91,Invoices!$B$2:$B$91,$A7,Invoices!$L$2:$L$91,"61-90")</f>
        <v>0</v>
      </c>
      <c r="G7" s="25" t="n">
        <f aca="false">SUMIFS(Invoices!$J$2:$J$91,Invoices!$B$2:$B$91,$A7,Invoices!$L$2:$L$91,"90+")</f>
        <v>0</v>
      </c>
      <c r="H7" s="25" t="n">
        <f aca="false">SUM(C7:G7)</f>
        <v>80310</v>
      </c>
      <c r="I7" s="26" t="n">
        <f aca="false">Customers!E4</f>
        <v>200000</v>
      </c>
      <c r="J7" s="27" t="n">
        <f aca="false">IF(H7=0,0,SUM(D7:G7)/H7)</f>
        <v>0.701531565184908</v>
      </c>
      <c r="K7" s="28" t="str">
        <f aca="false">IF(H7&gt;I7,"Over limit",IF(G7&gt;0,"Review 90+","OK"))</f>
        <v>OK</v>
      </c>
    </row>
    <row r="8" customFormat="false" ht="15" hidden="false" customHeight="false" outlineLevel="0" collapsed="false">
      <c r="A8" s="19" t="str">
        <f aca="false">Customers!A5</f>
        <v>C004</v>
      </c>
      <c r="B8" s="19" t="str">
        <f aca="false">Customers!B5</f>
        <v>Desert Logistics</v>
      </c>
      <c r="C8" s="25" t="n">
        <f aca="false">SUMIFS(Invoices!$J$2:$J$91,Invoices!$B$2:$B$91,$A8,Invoices!$L$2:$L$91,"Not due")</f>
        <v>75790</v>
      </c>
      <c r="D8" s="25" t="n">
        <f aca="false">SUMIFS(Invoices!$J$2:$J$91,Invoices!$B$2:$B$91,$A8,Invoices!$L$2:$L$91,"1-30")</f>
        <v>0</v>
      </c>
      <c r="E8" s="25" t="n">
        <f aca="false">SUMIFS(Invoices!$J$2:$J$91,Invoices!$B$2:$B$91,$A8,Invoices!$L$2:$L$91,"31-60")</f>
        <v>0</v>
      </c>
      <c r="F8" s="25" t="n">
        <f aca="false">SUMIFS(Invoices!$J$2:$J$91,Invoices!$B$2:$B$91,$A8,Invoices!$L$2:$L$91,"61-90")</f>
        <v>0</v>
      </c>
      <c r="G8" s="25" t="n">
        <f aca="false">SUMIFS(Invoices!$J$2:$J$91,Invoices!$B$2:$B$91,$A8,Invoices!$L$2:$L$91,"90+")</f>
        <v>16610</v>
      </c>
      <c r="H8" s="25" t="n">
        <f aca="false">SUM(C8:G8)</f>
        <v>92400</v>
      </c>
      <c r="I8" s="26" t="n">
        <f aca="false">Customers!E5</f>
        <v>80000</v>
      </c>
      <c r="J8" s="27" t="n">
        <f aca="false">IF(H8=0,0,SUM(D8:G8)/H8)</f>
        <v>0.179761904761905</v>
      </c>
      <c r="K8" s="28" t="str">
        <f aca="false">IF(H8&gt;I8,"Over limit",IF(G8&gt;0,"Review 90+","OK"))</f>
        <v>Over limit</v>
      </c>
    </row>
    <row r="9" customFormat="false" ht="15" hidden="false" customHeight="false" outlineLevel="0" collapsed="false">
      <c r="A9" s="19" t="str">
        <f aca="false">Customers!A6</f>
        <v>C005</v>
      </c>
      <c r="B9" s="19" t="str">
        <f aca="false">Customers!B6</f>
        <v>BlueWave Telecom</v>
      </c>
      <c r="C9" s="25" t="n">
        <f aca="false">SUMIFS(Invoices!$J$2:$J$91,Invoices!$B$2:$B$91,$A9,Invoices!$L$2:$L$91,"Not due")</f>
        <v>21780</v>
      </c>
      <c r="D9" s="25" t="n">
        <f aca="false">SUMIFS(Invoices!$J$2:$J$91,Invoices!$B$2:$B$91,$A9,Invoices!$L$2:$L$91,"1-30")</f>
        <v>0</v>
      </c>
      <c r="E9" s="25" t="n">
        <f aca="false">SUMIFS(Invoices!$J$2:$J$91,Invoices!$B$2:$B$91,$A9,Invoices!$L$2:$L$91,"31-60")</f>
        <v>0</v>
      </c>
      <c r="F9" s="25" t="n">
        <f aca="false">SUMIFS(Invoices!$J$2:$J$91,Invoices!$B$2:$B$91,$A9,Invoices!$L$2:$L$91,"61-90")</f>
        <v>0</v>
      </c>
      <c r="G9" s="25" t="n">
        <f aca="false">SUMIFS(Invoices!$J$2:$J$91,Invoices!$B$2:$B$91,$A9,Invoices!$L$2:$L$91,"90+")</f>
        <v>0</v>
      </c>
      <c r="H9" s="25" t="n">
        <f aca="false">SUM(C9:G9)</f>
        <v>21780</v>
      </c>
      <c r="I9" s="26" t="n">
        <f aca="false">Customers!E6</f>
        <v>120000</v>
      </c>
      <c r="J9" s="27" t="n">
        <f aca="false">IF(H9=0,0,SUM(D9:G9)/H9)</f>
        <v>0</v>
      </c>
      <c r="K9" s="28" t="str">
        <f aca="false">IF(H9&gt;I9,"Over limit",IF(G9&gt;0,"Review 90+","OK"))</f>
        <v>OK</v>
      </c>
    </row>
    <row r="10" customFormat="false" ht="15" hidden="false" customHeight="false" outlineLevel="0" collapsed="false">
      <c r="A10" s="19" t="str">
        <f aca="false">Customers!A7</f>
        <v>C006</v>
      </c>
      <c r="B10" s="19" t="str">
        <f aca="false">Customers!B7</f>
        <v>Harbor Developers</v>
      </c>
      <c r="C10" s="25" t="n">
        <f aca="false">SUMIFS(Invoices!$J$2:$J$91,Invoices!$B$2:$B$91,$A10,Invoices!$L$2:$L$91,"Not due")</f>
        <v>82150</v>
      </c>
      <c r="D10" s="25" t="n">
        <f aca="false">SUMIFS(Invoices!$J$2:$J$91,Invoices!$B$2:$B$91,$A10,Invoices!$L$2:$L$91,"1-30")</f>
        <v>6140</v>
      </c>
      <c r="E10" s="25" t="n">
        <f aca="false">SUMIFS(Invoices!$J$2:$J$91,Invoices!$B$2:$B$91,$A10,Invoices!$L$2:$L$91,"31-60")</f>
        <v>0</v>
      </c>
      <c r="F10" s="25" t="n">
        <f aca="false">SUMIFS(Invoices!$J$2:$J$91,Invoices!$B$2:$B$91,$A10,Invoices!$L$2:$L$91,"61-90")</f>
        <v>0</v>
      </c>
      <c r="G10" s="25" t="n">
        <f aca="false">SUMIFS(Invoices!$J$2:$J$91,Invoices!$B$2:$B$91,$A10,Invoices!$L$2:$L$91,"90+")</f>
        <v>0</v>
      </c>
      <c r="H10" s="25" t="n">
        <f aca="false">SUM(C10:G10)</f>
        <v>88290</v>
      </c>
      <c r="I10" s="26" t="n">
        <f aca="false">Customers!E7</f>
        <v>180000</v>
      </c>
      <c r="J10" s="27" t="n">
        <f aca="false">IF(H10=0,0,SUM(D10:G10)/H10)</f>
        <v>0.0695435496658738</v>
      </c>
      <c r="K10" s="28" t="str">
        <f aca="false">IF(H10&gt;I10,"Over limit",IF(G10&gt;0,"Review 90+","OK"))</f>
        <v>OK</v>
      </c>
    </row>
    <row r="11" customFormat="false" ht="15" hidden="false" customHeight="false" outlineLevel="0" collapsed="false">
      <c r="A11" s="19" t="str">
        <f aca="false">Customers!A8</f>
        <v>C007</v>
      </c>
      <c r="B11" s="19" t="str">
        <f aca="false">Customers!B8</f>
        <v>Sunrise Facilities</v>
      </c>
      <c r="C11" s="25" t="n">
        <f aca="false">SUMIFS(Invoices!$J$2:$J$91,Invoices!$B$2:$B$91,$A11,Invoices!$L$2:$L$91,"Not due")</f>
        <v>25820</v>
      </c>
      <c r="D11" s="25" t="n">
        <f aca="false">SUMIFS(Invoices!$J$2:$J$91,Invoices!$B$2:$B$91,$A11,Invoices!$L$2:$L$91,"1-30")</f>
        <v>0</v>
      </c>
      <c r="E11" s="25" t="n">
        <f aca="false">SUMIFS(Invoices!$J$2:$J$91,Invoices!$B$2:$B$91,$A11,Invoices!$L$2:$L$91,"31-60")</f>
        <v>0</v>
      </c>
      <c r="F11" s="25" t="n">
        <f aca="false">SUMIFS(Invoices!$J$2:$J$91,Invoices!$B$2:$B$91,$A11,Invoices!$L$2:$L$91,"61-90")</f>
        <v>0</v>
      </c>
      <c r="G11" s="25" t="n">
        <f aca="false">SUMIFS(Invoices!$J$2:$J$91,Invoices!$B$2:$B$91,$A11,Invoices!$L$2:$L$91,"90+")</f>
        <v>2430</v>
      </c>
      <c r="H11" s="25" t="n">
        <f aca="false">SUM(C11:G11)</f>
        <v>28250</v>
      </c>
      <c r="I11" s="26" t="n">
        <f aca="false">Customers!E8</f>
        <v>60000</v>
      </c>
      <c r="J11" s="27" t="n">
        <f aca="false">IF(H11=0,0,SUM(D11:G11)/H11)</f>
        <v>0.0860176991150442</v>
      </c>
      <c r="K11" s="28" t="str">
        <f aca="false">IF(H11&gt;I11,"Over limit",IF(G11&gt;0,"Review 90+","OK"))</f>
        <v>Review 90+</v>
      </c>
    </row>
    <row r="12" customFormat="false" ht="15" hidden="false" customHeight="false" outlineLevel="0" collapsed="false">
      <c r="A12" s="19" t="str">
        <f aca="false">Customers!A9</f>
        <v>C008</v>
      </c>
      <c r="B12" s="19" t="str">
        <f aca="false">Customers!B9</f>
        <v>Coastal Roads Authority</v>
      </c>
      <c r="C12" s="25" t="n">
        <f aca="false">SUMIFS(Invoices!$J$2:$J$91,Invoices!$B$2:$B$91,$A12,Invoices!$L$2:$L$91,"Not due")</f>
        <v>158410</v>
      </c>
      <c r="D12" s="25" t="n">
        <f aca="false">SUMIFS(Invoices!$J$2:$J$91,Invoices!$B$2:$B$91,$A12,Invoices!$L$2:$L$91,"1-30")</f>
        <v>89940</v>
      </c>
      <c r="E12" s="25" t="n">
        <f aca="false">SUMIFS(Invoices!$J$2:$J$91,Invoices!$B$2:$B$91,$A12,Invoices!$L$2:$L$91,"31-60")</f>
        <v>26490</v>
      </c>
      <c r="F12" s="25" t="n">
        <f aca="false">SUMIFS(Invoices!$J$2:$J$91,Invoices!$B$2:$B$91,$A12,Invoices!$L$2:$L$91,"61-90")</f>
        <v>0</v>
      </c>
      <c r="G12" s="25" t="n">
        <f aca="false">SUMIFS(Invoices!$J$2:$J$91,Invoices!$B$2:$B$91,$A12,Invoices!$L$2:$L$91,"90+")</f>
        <v>0</v>
      </c>
      <c r="H12" s="25" t="n">
        <f aca="false">SUM(C12:G12)</f>
        <v>274840</v>
      </c>
      <c r="I12" s="26" t="n">
        <f aca="false">Customers!E9</f>
        <v>300000</v>
      </c>
      <c r="J12" s="27" t="n">
        <f aca="false">IF(H12=0,0,SUM(D12:G12)/H12)</f>
        <v>0.423628292824916</v>
      </c>
      <c r="K12" s="28" t="str">
        <f aca="false">IF(H12&gt;I12,"Over limit",IF(G12&gt;0,"Review 90+","OK"))</f>
        <v>OK</v>
      </c>
    </row>
    <row r="13" customFormat="false" ht="15" hidden="false" customHeight="false" outlineLevel="0" collapsed="false">
      <c r="A13" s="19" t="str">
        <f aca="false">Customers!A10</f>
        <v>C009</v>
      </c>
      <c r="B13" s="19" t="str">
        <f aca="false">Customers!B10</f>
        <v>Prime Events</v>
      </c>
      <c r="C13" s="25" t="n">
        <f aca="false">SUMIFS(Invoices!$J$2:$J$91,Invoices!$B$2:$B$91,$A13,Invoices!$L$2:$L$91,"Not due")</f>
        <v>44940</v>
      </c>
      <c r="D13" s="25" t="n">
        <f aca="false">SUMIFS(Invoices!$J$2:$J$91,Invoices!$B$2:$B$91,$A13,Invoices!$L$2:$L$91,"1-30")</f>
        <v>7300</v>
      </c>
      <c r="E13" s="25" t="n">
        <f aca="false">SUMIFS(Invoices!$J$2:$J$91,Invoices!$B$2:$B$91,$A13,Invoices!$L$2:$L$91,"31-60")</f>
        <v>11000</v>
      </c>
      <c r="F13" s="25" t="n">
        <f aca="false">SUMIFS(Invoices!$J$2:$J$91,Invoices!$B$2:$B$91,$A13,Invoices!$L$2:$L$91,"61-90")</f>
        <v>0</v>
      </c>
      <c r="G13" s="25" t="n">
        <f aca="false">SUMIFS(Invoices!$J$2:$J$91,Invoices!$B$2:$B$91,$A13,Invoices!$L$2:$L$91,"90+")</f>
        <v>5190</v>
      </c>
      <c r="H13" s="25" t="n">
        <f aca="false">SUM(C13:G13)</f>
        <v>68430</v>
      </c>
      <c r="I13" s="26" t="n">
        <f aca="false">Customers!E10</f>
        <v>40000</v>
      </c>
      <c r="J13" s="27" t="n">
        <f aca="false">IF(H13=0,0,SUM(D13:G13)/H13)</f>
        <v>0.343270495396756</v>
      </c>
      <c r="K13" s="28" t="str">
        <f aca="false">IF(H13&gt;I13,"Over limit",IF(G13&gt;0,"Review 90+","OK"))</f>
        <v>Over limit</v>
      </c>
    </row>
    <row r="14" customFormat="false" ht="15" hidden="false" customHeight="false" outlineLevel="0" collapsed="false">
      <c r="A14" s="19" t="str">
        <f aca="false">Customers!A11</f>
        <v>C010</v>
      </c>
      <c r="B14" s="19" t="str">
        <f aca="false">Customers!B11</f>
        <v>Oasis Retail Group</v>
      </c>
      <c r="C14" s="25" t="n">
        <f aca="false">SUMIFS(Invoices!$J$2:$J$91,Invoices!$B$2:$B$91,$A14,Invoices!$L$2:$L$91,"Not due")</f>
        <v>16230</v>
      </c>
      <c r="D14" s="25" t="n">
        <f aca="false">SUMIFS(Invoices!$J$2:$J$91,Invoices!$B$2:$B$91,$A14,Invoices!$L$2:$L$91,"1-30")</f>
        <v>11750</v>
      </c>
      <c r="E14" s="25" t="n">
        <f aca="false">SUMIFS(Invoices!$J$2:$J$91,Invoices!$B$2:$B$91,$A14,Invoices!$L$2:$L$91,"31-60")</f>
        <v>0</v>
      </c>
      <c r="F14" s="25" t="n">
        <f aca="false">SUMIFS(Invoices!$J$2:$J$91,Invoices!$B$2:$B$91,$A14,Invoices!$L$2:$L$91,"61-90")</f>
        <v>0</v>
      </c>
      <c r="G14" s="25" t="n">
        <f aca="false">SUMIFS(Invoices!$J$2:$J$91,Invoices!$B$2:$B$91,$A14,Invoices!$L$2:$L$91,"90+")</f>
        <v>1580</v>
      </c>
      <c r="H14" s="25" t="n">
        <f aca="false">SUM(C14:G14)</f>
        <v>29560</v>
      </c>
      <c r="I14" s="26" t="n">
        <f aca="false">Customers!E11</f>
        <v>70000</v>
      </c>
      <c r="J14" s="27" t="n">
        <f aca="false">IF(H14=0,0,SUM(D14:G14)/H14)</f>
        <v>0.450947225981055</v>
      </c>
      <c r="K14" s="28" t="str">
        <f aca="false">IF(H14&gt;I14,"Over limit",IF(G14&gt;0,"Review 90+","OK"))</f>
        <v>Review 90+</v>
      </c>
    </row>
    <row r="15" customFormat="false" ht="15" hidden="false" customHeight="false" outlineLevel="0" collapsed="false">
      <c r="A15" s="5"/>
      <c r="B15" s="4" t="s">
        <v>189</v>
      </c>
      <c r="C15" s="29" t="n">
        <f aca="false">SUM(C5:C14)</f>
        <v>491180</v>
      </c>
      <c r="D15" s="29" t="n">
        <f aca="false">SUM(D5:D14)</f>
        <v>135150</v>
      </c>
      <c r="E15" s="29" t="n">
        <f aca="false">SUM(E5:E14)</f>
        <v>83360</v>
      </c>
      <c r="F15" s="29" t="n">
        <f aca="false">SUM(F5:F14)</f>
        <v>0</v>
      </c>
      <c r="G15" s="29" t="n">
        <f aca="false">SUM(G5:G14)</f>
        <v>47560</v>
      </c>
      <c r="H15" s="29" t="n">
        <f aca="false">SUM(H5:H14)</f>
        <v>757250</v>
      </c>
      <c r="I15" s="29" t="n">
        <f aca="false">SUM(I5:I14)</f>
        <v>1450000</v>
      </c>
      <c r="J15" s="30" t="n">
        <f aca="false">IF(H15=0,0,SUM(D15:G15)/H15)</f>
        <v>0.351363486299109</v>
      </c>
      <c r="K15" s="5"/>
    </row>
    <row r="16" customFormat="false" ht="15" hidden="false" customHeight="false" outlineLevel="0" collapsed="false">
      <c r="A16" s="5"/>
      <c r="B16" s="31" t="s">
        <v>190</v>
      </c>
      <c r="C16" s="32" t="n">
        <f aca="false">IF($H$15=0,0,C15/$H$15)</f>
        <v>0.648636513700891</v>
      </c>
      <c r="D16" s="32" t="n">
        <f aca="false">IF($H$15=0,0,D15/$H$15)</f>
        <v>0.17847474413998</v>
      </c>
      <c r="E16" s="32" t="n">
        <f aca="false">IF($H$15=0,0,E15/$H$15)</f>
        <v>0.110082535490261</v>
      </c>
      <c r="F16" s="32" t="n">
        <f aca="false">IF($H$15=0,0,F15/$H$15)</f>
        <v>0</v>
      </c>
      <c r="G16" s="32" t="n">
        <f aca="false">IF($H$15=0,0,G15/$H$15)</f>
        <v>0.0628062066688676</v>
      </c>
      <c r="H16" s="5"/>
      <c r="I16" s="5"/>
      <c r="J16" s="5"/>
      <c r="K1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4" min="2" style="0" width="14"/>
    <col collapsed="false" customWidth="true" hidden="false" outlineLevel="0" max="6" min="5" style="0" width="16"/>
    <col collapsed="false" customWidth="true" hidden="false" outlineLevel="0" max="8" min="7" style="0" width="12"/>
  </cols>
  <sheetData>
    <row r="1" customFormat="false" ht="16.15" hidden="false" customHeight="false" outlineLevel="0" collapsed="false">
      <c r="A1" s="23" t="s">
        <v>191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</row>
    <row r="3" customFormat="false" ht="15" hidden="false" customHeight="false" outlineLevel="0" collapsed="false">
      <c r="A3" s="11" t="s">
        <v>192</v>
      </c>
      <c r="B3" s="11" t="s">
        <v>193</v>
      </c>
      <c r="C3" s="11" t="s">
        <v>194</v>
      </c>
      <c r="D3" s="11" t="s">
        <v>195</v>
      </c>
      <c r="E3" s="11" t="s">
        <v>196</v>
      </c>
      <c r="F3" s="11" t="s">
        <v>197</v>
      </c>
      <c r="G3" s="11" t="s">
        <v>198</v>
      </c>
      <c r="H3" s="11" t="s">
        <v>199</v>
      </c>
    </row>
    <row r="4" customFormat="false" ht="15" hidden="false" customHeight="false" outlineLevel="0" collapsed="false">
      <c r="A4" s="33" t="n">
        <v>45839</v>
      </c>
      <c r="B4" s="34" t="n">
        <f aca="false">EOMONTH(A4,0)</f>
        <v>45869</v>
      </c>
      <c r="C4" s="25" t="n">
        <f aca="false">SUMIFS(Invoices!$G$2:$G$91,Invoices!$D$2:$D$91,"&gt;="&amp;A4,Invoices!$D$2:$D$91,"&lt;="&amp;B4)</f>
        <v>297690</v>
      </c>
      <c r="D4" s="25" t="n">
        <f aca="false">SUMIFS(Invoices!$H$2:$H$91,Invoices!$I$2:$I$91,"&gt;="&amp;A4,Invoices!$I$2:$I$91,"&lt;="&amp;B4)</f>
        <v>105490</v>
      </c>
      <c r="E4" s="18" t="n">
        <v>0</v>
      </c>
      <c r="F4" s="25" t="n">
        <f aca="false">E4+C4-D4</f>
        <v>192200</v>
      </c>
      <c r="G4" s="27" t="n">
        <f aca="false">IF((E4+C4)=0,0,D4/(E4+C4))</f>
        <v>0.354361920118244</v>
      </c>
      <c r="H4" s="27" t="n">
        <f aca="false">IF(C4=0,0,D4/C4)</f>
        <v>0.354361920118244</v>
      </c>
    </row>
    <row r="5" customFormat="false" ht="15" hidden="false" customHeight="false" outlineLevel="0" collapsed="false">
      <c r="A5" s="33" t="n">
        <v>45870</v>
      </c>
      <c r="B5" s="34" t="n">
        <f aca="false">EOMONTH(A5,0)</f>
        <v>45900</v>
      </c>
      <c r="C5" s="25" t="n">
        <f aca="false">SUMIFS(Invoices!$G$2:$G$91,Invoices!$D$2:$D$91,"&gt;="&amp;A5,Invoices!$D$2:$D$91,"&lt;="&amp;B5)</f>
        <v>246140</v>
      </c>
      <c r="D5" s="25" t="n">
        <f aca="false">SUMIFS(Invoices!$H$2:$H$91,Invoices!$I$2:$I$91,"&gt;="&amp;A5,Invoices!$I$2:$I$91,"&lt;="&amp;B5)</f>
        <v>73150</v>
      </c>
      <c r="E5" s="25" t="n">
        <f aca="false">F4</f>
        <v>192200</v>
      </c>
      <c r="F5" s="25" t="n">
        <f aca="false">E5+C5-D5</f>
        <v>365190</v>
      </c>
      <c r="G5" s="27" t="n">
        <f aca="false">IF((E5+C5)=0,0,D5/(E5+C5))</f>
        <v>0.166879591184925</v>
      </c>
      <c r="H5" s="27" t="n">
        <f aca="false">IF(C5=0,0,D5/C5)</f>
        <v>0.297188591858292</v>
      </c>
    </row>
    <row r="6" customFormat="false" ht="15" hidden="false" customHeight="false" outlineLevel="0" collapsed="false">
      <c r="A6" s="33" t="n">
        <v>45901</v>
      </c>
      <c r="B6" s="34" t="n">
        <f aca="false">EOMONTH(A6,0)</f>
        <v>45930</v>
      </c>
      <c r="C6" s="25" t="n">
        <f aca="false">SUMIFS(Invoices!$G$2:$G$91,Invoices!$D$2:$D$91,"&gt;="&amp;A6,Invoices!$D$2:$D$91,"&lt;="&amp;B6)</f>
        <v>386680</v>
      </c>
      <c r="D6" s="25" t="n">
        <f aca="false">SUMIFS(Invoices!$H$2:$H$91,Invoices!$I$2:$I$91,"&gt;="&amp;A6,Invoices!$I$2:$I$91,"&lt;="&amp;B6)</f>
        <v>203050</v>
      </c>
      <c r="E6" s="25" t="n">
        <f aca="false">F5</f>
        <v>365190</v>
      </c>
      <c r="F6" s="25" t="n">
        <f aca="false">E6+C6-D6</f>
        <v>548820</v>
      </c>
      <c r="G6" s="27" t="n">
        <f aca="false">IF((E6+C6)=0,0,D6/(E6+C6))</f>
        <v>0.270059983773791</v>
      </c>
      <c r="H6" s="27" t="n">
        <f aca="false">IF(C6=0,0,D6/C6)</f>
        <v>0.525111203061963</v>
      </c>
    </row>
    <row r="7" customFormat="false" ht="15" hidden="false" customHeight="false" outlineLevel="0" collapsed="false">
      <c r="A7" s="33" t="n">
        <v>45931</v>
      </c>
      <c r="B7" s="34" t="n">
        <f aca="false">EOMONTH(A7,0)</f>
        <v>45961</v>
      </c>
      <c r="C7" s="25" t="n">
        <f aca="false">SUMIFS(Invoices!$G$2:$G$91,Invoices!$D$2:$D$91,"&gt;="&amp;A7,Invoices!$D$2:$D$91,"&lt;="&amp;B7)</f>
        <v>365960</v>
      </c>
      <c r="D7" s="25" t="n">
        <f aca="false">SUMIFS(Invoices!$H$2:$H$91,Invoices!$I$2:$I$91,"&gt;="&amp;A7,Invoices!$I$2:$I$91,"&lt;="&amp;B7)</f>
        <v>225280</v>
      </c>
      <c r="E7" s="25" t="n">
        <f aca="false">F6</f>
        <v>548820</v>
      </c>
      <c r="F7" s="25" t="n">
        <f aca="false">E7+C7-D7</f>
        <v>689500</v>
      </c>
      <c r="G7" s="27" t="n">
        <f aca="false">IF((E7+C7)=0,0,D7/(E7+C7))</f>
        <v>0.246266861977743</v>
      </c>
      <c r="H7" s="27" t="n">
        <f aca="false">IF(C7=0,0,D7/C7)</f>
        <v>0.615586402885561</v>
      </c>
    </row>
    <row r="8" customFormat="false" ht="15" hidden="false" customHeight="false" outlineLevel="0" collapsed="false">
      <c r="A8" s="33" t="n">
        <v>45962</v>
      </c>
      <c r="B8" s="34" t="n">
        <f aca="false">EOMONTH(A8,0)</f>
        <v>45991</v>
      </c>
      <c r="C8" s="25" t="n">
        <f aca="false">SUMIFS(Invoices!$G$2:$G$91,Invoices!$D$2:$D$91,"&gt;="&amp;A8,Invoices!$D$2:$D$91,"&lt;="&amp;B8)</f>
        <v>322890</v>
      </c>
      <c r="D8" s="25" t="n">
        <f aca="false">SUMIFS(Invoices!$H$2:$H$91,Invoices!$I$2:$I$91,"&gt;="&amp;A8,Invoices!$I$2:$I$91,"&lt;="&amp;B8)</f>
        <v>373980</v>
      </c>
      <c r="E8" s="25" t="n">
        <f aca="false">F7</f>
        <v>689500</v>
      </c>
      <c r="F8" s="25" t="n">
        <f aca="false">E8+C8-D8</f>
        <v>638410</v>
      </c>
      <c r="G8" s="27" t="n">
        <f aca="false">IF((E8+C8)=0,0,D8/(E8+C8))</f>
        <v>0.369403095644959</v>
      </c>
      <c r="H8" s="27" t="n">
        <f aca="false">IF(C8=0,0,D8/C8)</f>
        <v>1.1582272600576</v>
      </c>
    </row>
    <row r="9" customFormat="false" ht="15" hidden="false" customHeight="false" outlineLevel="0" collapsed="false">
      <c r="A9" s="33" t="n">
        <v>45992</v>
      </c>
      <c r="B9" s="34" t="n">
        <f aca="false">EOMONTH(A9,0)</f>
        <v>46022</v>
      </c>
      <c r="C9" s="25" t="n">
        <f aca="false">SUMIFS(Invoices!$G$2:$G$91,Invoices!$D$2:$D$91,"&gt;="&amp;A9,Invoices!$D$2:$D$91,"&lt;="&amp;B9)</f>
        <v>415230</v>
      </c>
      <c r="D9" s="25" t="n">
        <f aca="false">SUMIFS(Invoices!$H$2:$H$91,Invoices!$I$2:$I$91,"&gt;="&amp;A9,Invoices!$I$2:$I$91,"&lt;="&amp;B9)</f>
        <v>296390</v>
      </c>
      <c r="E9" s="25" t="n">
        <f aca="false">F8</f>
        <v>638410</v>
      </c>
      <c r="F9" s="25" t="n">
        <f aca="false">E9+C9-D9</f>
        <v>757250</v>
      </c>
      <c r="G9" s="27" t="n">
        <f aca="false">IF((E9+C9)=0,0,D9/(E9+C9))</f>
        <v>0.281301013628944</v>
      </c>
      <c r="H9" s="27" t="n">
        <f aca="false">IF(C9=0,0,D9/C9)</f>
        <v>0.713797172651302</v>
      </c>
    </row>
    <row r="10" customFormat="false" ht="15" hidden="false" customHeight="false" outlineLevel="0" collapsed="false">
      <c r="A10" s="4" t="s">
        <v>189</v>
      </c>
      <c r="B10" s="5"/>
      <c r="C10" s="35" t="n">
        <f aca="false">SUM(C4:C9)</f>
        <v>2034590</v>
      </c>
      <c r="D10" s="35" t="n">
        <f aca="false">SUM(D4:D9)</f>
        <v>1277340</v>
      </c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13" t="s">
        <v>200</v>
      </c>
      <c r="B13" s="5"/>
      <c r="C13" s="5"/>
      <c r="D13" s="5"/>
      <c r="E13" s="5"/>
      <c r="F13" s="5"/>
      <c r="G13" s="5"/>
      <c r="H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5"/>
      <c r="H14" s="5"/>
    </row>
    <row r="15" customFormat="false" ht="15" hidden="false" customHeight="false" outlineLevel="0" collapsed="false">
      <c r="A15" s="4" t="s">
        <v>201</v>
      </c>
      <c r="B15" s="5"/>
      <c r="C15" s="5"/>
      <c r="D15" s="5"/>
      <c r="E15" s="5"/>
      <c r="F15" s="5"/>
      <c r="G15" s="5"/>
      <c r="H15" s="5"/>
    </row>
    <row r="16" customFormat="false" ht="15" hidden="false" customHeight="false" outlineLevel="0" collapsed="false">
      <c r="A16" s="3" t="s">
        <v>202</v>
      </c>
      <c r="B16" s="25" t="n">
        <f aca="false">AR_Aging!H15</f>
        <v>757250</v>
      </c>
      <c r="C16" s="5"/>
      <c r="D16" s="5"/>
      <c r="E16" s="5"/>
      <c r="F16" s="5"/>
      <c r="G16" s="5"/>
      <c r="H16" s="5"/>
    </row>
    <row r="17" customFormat="false" ht="15" hidden="false" customHeight="false" outlineLevel="0" collapsed="false">
      <c r="A17" s="3" t="s">
        <v>203</v>
      </c>
      <c r="B17" s="25" t="n">
        <f aca="false">SUMIFS(Invoices!$G$2:$G$91,Invoices!$D$2:$D$91,"&gt;"&amp;(Assumptions!$B$2-Assumptions!$B$3),Invoices!$D$2:$D$91,"&lt;="&amp;Assumptions!$B$2)</f>
        <v>1061180</v>
      </c>
      <c r="C17" s="5"/>
      <c r="D17" s="5"/>
      <c r="E17" s="5"/>
      <c r="F17" s="5"/>
      <c r="G17" s="5"/>
      <c r="H17" s="5"/>
    </row>
    <row r="18" customFormat="false" ht="15" hidden="false" customHeight="false" outlineLevel="0" collapsed="false">
      <c r="A18" s="3" t="s">
        <v>20</v>
      </c>
      <c r="B18" s="36" t="n">
        <f aca="false">IF(B17=0,0,B16/B17*Assumptions!$B$3)</f>
        <v>64.2233174390773</v>
      </c>
      <c r="C18" s="5"/>
      <c r="D18" s="5"/>
      <c r="E18" s="5"/>
      <c r="F18" s="5"/>
      <c r="G18" s="5"/>
      <c r="H18" s="5"/>
    </row>
    <row r="19" customFormat="false" ht="15" hidden="false" customHeight="false" outlineLevel="0" collapsed="false">
      <c r="A19" s="3" t="s">
        <v>18</v>
      </c>
      <c r="B19" s="25" t="n">
        <f aca="false">SUM(AR_Aging!D15:G15)</f>
        <v>266070</v>
      </c>
      <c r="C19" s="5"/>
      <c r="D19" s="5"/>
      <c r="E19" s="5"/>
      <c r="F19" s="5"/>
      <c r="G19" s="5"/>
      <c r="H19" s="5"/>
    </row>
    <row r="20" customFormat="false" ht="15" hidden="false" customHeight="false" outlineLevel="0" collapsed="false">
      <c r="A20" s="3" t="s">
        <v>19</v>
      </c>
      <c r="B20" s="27" t="n">
        <f aca="false">IF(B16=0,0,B19/B16)</f>
        <v>0.351363486299109</v>
      </c>
      <c r="C20" s="5"/>
      <c r="D20" s="5"/>
      <c r="E20" s="5"/>
      <c r="F20" s="5"/>
      <c r="G20" s="5"/>
      <c r="H20" s="5"/>
    </row>
    <row r="21" customFormat="false" ht="15" hidden="false" customHeight="false" outlineLevel="0" collapsed="false">
      <c r="A21" s="3" t="s">
        <v>21</v>
      </c>
      <c r="B21" s="25" t="n">
        <f aca="false">AR_Aging!G15</f>
        <v>47560</v>
      </c>
      <c r="C21" s="5"/>
      <c r="D21" s="5"/>
      <c r="E21" s="5"/>
      <c r="F21" s="5"/>
      <c r="G21" s="5"/>
      <c r="H21" s="5"/>
    </row>
    <row r="22" customFormat="false" ht="15" hidden="false" customHeight="false" outlineLevel="0" collapsed="false">
      <c r="A22" s="3" t="s">
        <v>204</v>
      </c>
      <c r="B22" s="36" t="n">
        <f aca="false">AVERAGE(Invoices!$M$2:$M$91)</f>
        <v>40.3846153846154</v>
      </c>
      <c r="C22" s="5"/>
      <c r="D22" s="5"/>
      <c r="E22" s="5"/>
      <c r="F22" s="5"/>
      <c r="G22" s="5"/>
      <c r="H22" s="5"/>
    </row>
    <row r="23" customFormat="false" ht="15" hidden="false" customHeight="false" outlineLevel="0" collapsed="false">
      <c r="A23" s="3" t="s">
        <v>205</v>
      </c>
      <c r="B23" s="37" t="n">
        <f aca="false">COUNTA(Invoices!$A$2:$A$91)</f>
        <v>90</v>
      </c>
      <c r="C23" s="5"/>
      <c r="D23" s="5"/>
      <c r="E23" s="5"/>
      <c r="F23" s="5"/>
      <c r="G23" s="5"/>
      <c r="H23" s="5"/>
    </row>
    <row r="24" customFormat="false" ht="15" hidden="false" customHeight="false" outlineLevel="0" collapsed="false">
      <c r="A24" s="3" t="s">
        <v>206</v>
      </c>
      <c r="B24" s="37" t="n">
        <f aca="false">COUNTIF(Invoices!$L$2:$L$91,"Paid")</f>
        <v>52</v>
      </c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3" t="s">
        <v>22</v>
      </c>
      <c r="B25" s="27" t="n">
        <f aca="false">IF((E4+C10)=0,0,D10/(E4+C10))</f>
        <v>0.627811991605188</v>
      </c>
      <c r="C25" s="5"/>
      <c r="D25" s="5"/>
      <c r="E25" s="5"/>
      <c r="F25" s="5"/>
      <c r="G25" s="5"/>
      <c r="H2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6"/>
  </cols>
  <sheetData>
    <row r="1" customFormat="false" ht="16.15" hidden="false" customHeight="false" outlineLevel="0" collapsed="false">
      <c r="A1" s="23" t="s">
        <v>207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31" t="s">
        <v>208</v>
      </c>
      <c r="B2" s="38" t="n">
        <v>46023</v>
      </c>
      <c r="C2" s="38" t="n">
        <v>46054</v>
      </c>
      <c r="D2" s="38" t="n">
        <v>46082</v>
      </c>
      <c r="E2" s="5"/>
      <c r="F2" s="5"/>
      <c r="G2" s="5"/>
      <c r="H2" s="5"/>
    </row>
    <row r="3" customFormat="false" ht="15" hidden="false" customHeight="false" outlineLevel="0" collapsed="false">
      <c r="A3" s="11" t="s">
        <v>209</v>
      </c>
      <c r="B3" s="11" t="s">
        <v>210</v>
      </c>
      <c r="C3" s="11" t="s">
        <v>211</v>
      </c>
      <c r="D3" s="11" t="s">
        <v>212</v>
      </c>
      <c r="E3" s="11" t="s">
        <v>213</v>
      </c>
      <c r="F3" s="5"/>
      <c r="G3" s="5"/>
      <c r="H3" s="5"/>
    </row>
    <row r="4" customFormat="false" ht="15" hidden="false" customHeight="false" outlineLevel="0" collapsed="false">
      <c r="A4" s="5" t="s">
        <v>214</v>
      </c>
      <c r="B4" s="25" t="n">
        <f aca="false">SUMIFS(Invoices!$J$2:$J$91,Invoices!$L$2:$L$91,"Not due",Invoices!$F$2:$F$91,"&gt;="&amp;MIN(B$2,Assumptions!$B$2),Invoices!$F$2:$F$91,"&lt;="&amp;EOMONTH(B$2,0))*Assumptions!$B$4</f>
        <v>252761.6</v>
      </c>
      <c r="C4" s="25" t="n">
        <f aca="false">SUMIFS(Invoices!$J$2:$J$91,Invoices!$L$2:$L$91,"Not due",Invoices!$F$2:$F$91,"&gt;="&amp;C$2,Invoices!$F$2:$F$91,"&lt;="&amp;EOMONTH(C$2,0))*Assumptions!$B$4</f>
        <v>187875.8</v>
      </c>
      <c r="D4" s="25" t="n">
        <f aca="false">SUMIFS(Invoices!$J$2:$J$91,Invoices!$L$2:$L$91,"Not due",Invoices!$F$2:$F$91,"&gt;="&amp;D$2,Invoices!$F$2:$F$91,"&lt;="&amp;EOMONTH(D$2,0))*Assumptions!$B$4</f>
        <v>40719</v>
      </c>
      <c r="E4" s="25" t="n">
        <f aca="false">SUM(B4:D4)</f>
        <v>481356.4</v>
      </c>
      <c r="F4" s="5"/>
      <c r="G4" s="5"/>
      <c r="H4" s="5"/>
    </row>
    <row r="5" customFormat="false" ht="15" hidden="false" customHeight="false" outlineLevel="0" collapsed="false">
      <c r="A5" s="5" t="s">
        <v>215</v>
      </c>
      <c r="B5" s="25" t="n">
        <f aca="false">IF(Assumptions!$B$2+Assumptions!$B$9&lt;=EOMONTH(B$2,0),SUMIFS(Invoices!$J$2:$J$91,Invoices!$L$2:$L$91,"1-30")*Assumptions!$B$5,0)</f>
        <v>128392.5</v>
      </c>
      <c r="C5" s="25" t="n">
        <f aca="false">IF(AND(Assumptions!$B$2+Assumptions!$B$9&gt;EOMONTH(B$2,0),Assumptions!$B$2+Assumptions!$B$9&lt;=EOMONTH(C$2,0)),SUMIFS(Invoices!$J$2:$J$91,Invoices!$L$2:$L$91,"1-30")*Assumptions!$B$5,0)</f>
        <v>0</v>
      </c>
      <c r="D5" s="25" t="n">
        <f aca="false">IF(AND(Assumptions!$B$2+Assumptions!$B$9&gt;EOMONTH(C$2,0),Assumptions!$B$2+Assumptions!$B$9&lt;=EOMONTH(D$2,0)),SUMIFS(Invoices!$J$2:$J$91,Invoices!$L$2:$L$91,"1-30")*Assumptions!$B$5,0)</f>
        <v>0</v>
      </c>
      <c r="E5" s="25" t="n">
        <f aca="false">SUM(B5:D5)</f>
        <v>128392.5</v>
      </c>
      <c r="F5" s="5"/>
      <c r="G5" s="5"/>
      <c r="H5" s="5"/>
    </row>
    <row r="6" customFormat="false" ht="15" hidden="false" customHeight="false" outlineLevel="0" collapsed="false">
      <c r="A6" s="5" t="s">
        <v>216</v>
      </c>
      <c r="B6" s="25" t="n">
        <f aca="false">IF(Assumptions!$B$2+Assumptions!$B$9&lt;=EOMONTH(B$2,0),SUMIFS(Invoices!$J$2:$J$91,Invoices!$L$2:$L$91,"31-60")*Assumptions!$B$6,0)</f>
        <v>70856</v>
      </c>
      <c r="C6" s="25" t="n">
        <f aca="false">IF(AND(Assumptions!$B$2+Assumptions!$B$9&gt;EOMONTH(B$2,0),Assumptions!$B$2+Assumptions!$B$9&lt;=EOMONTH(C$2,0)),SUMIFS(Invoices!$J$2:$J$91,Invoices!$L$2:$L$91,"31-60")*Assumptions!$B$6,0)</f>
        <v>0</v>
      </c>
      <c r="D6" s="25" t="n">
        <f aca="false">IF(AND(Assumptions!$B$2+Assumptions!$B$9&gt;EOMONTH(C$2,0),Assumptions!$B$2+Assumptions!$B$9&lt;=EOMONTH(D$2,0)),SUMIFS(Invoices!$J$2:$J$91,Invoices!$L$2:$L$91,"31-60")*Assumptions!$B$6,0)</f>
        <v>0</v>
      </c>
      <c r="E6" s="25" t="n">
        <f aca="false">SUM(B6:D6)</f>
        <v>70856</v>
      </c>
      <c r="F6" s="5"/>
      <c r="G6" s="5"/>
      <c r="H6" s="5"/>
    </row>
    <row r="7" customFormat="false" ht="15" hidden="false" customHeight="false" outlineLevel="0" collapsed="false">
      <c r="A7" s="5" t="s">
        <v>217</v>
      </c>
      <c r="B7" s="25" t="n">
        <f aca="false">IF(Assumptions!$B$2+Assumptions!$B$9&lt;=EOMONTH(B$2,0),SUMIFS(Invoices!$J$2:$J$91,Invoices!$L$2:$L$91,"61-90")*Assumptions!$B$7,0)</f>
        <v>0</v>
      </c>
      <c r="C7" s="25" t="n">
        <f aca="false">IF(AND(Assumptions!$B$2+Assumptions!$B$9&gt;EOMONTH(B$2,0),Assumptions!$B$2+Assumptions!$B$9&lt;=EOMONTH(C$2,0)),SUMIFS(Invoices!$J$2:$J$91,Invoices!$L$2:$L$91,"61-90")*Assumptions!$B$7,0)</f>
        <v>0</v>
      </c>
      <c r="D7" s="25" t="n">
        <f aca="false">IF(AND(Assumptions!$B$2+Assumptions!$B$9&gt;EOMONTH(C$2,0),Assumptions!$B$2+Assumptions!$B$9&lt;=EOMONTH(D$2,0)),SUMIFS(Invoices!$J$2:$J$91,Invoices!$L$2:$L$91,"61-90")*Assumptions!$B$7,0)</f>
        <v>0</v>
      </c>
      <c r="E7" s="25" t="n">
        <f aca="false">SUM(B7:D7)</f>
        <v>0</v>
      </c>
      <c r="F7" s="5"/>
      <c r="G7" s="5"/>
      <c r="H7" s="5"/>
    </row>
    <row r="8" customFormat="false" ht="15" hidden="false" customHeight="false" outlineLevel="0" collapsed="false">
      <c r="A8" s="5" t="s">
        <v>218</v>
      </c>
      <c r="B8" s="25" t="n">
        <f aca="false">IF(Assumptions!$B$2+Assumptions!$B$9&lt;=EOMONTH(B$2,0),SUMIFS(Invoices!$J$2:$J$91,Invoices!$L$2:$L$91,"90+")*Assumptions!$B$8,0)</f>
        <v>14268</v>
      </c>
      <c r="C8" s="25" t="n">
        <f aca="false">IF(AND(Assumptions!$B$2+Assumptions!$B$9&gt;EOMONTH(B$2,0),Assumptions!$B$2+Assumptions!$B$9&lt;=EOMONTH(C$2,0)),SUMIFS(Invoices!$J$2:$J$91,Invoices!$L$2:$L$91,"90+")*Assumptions!$B$8,0)</f>
        <v>0</v>
      </c>
      <c r="D8" s="25" t="n">
        <f aca="false">IF(AND(Assumptions!$B$2+Assumptions!$B$9&gt;EOMONTH(C$2,0),Assumptions!$B$2+Assumptions!$B$9&lt;=EOMONTH(D$2,0)),SUMIFS(Invoices!$J$2:$J$91,Invoices!$L$2:$L$91,"90+")*Assumptions!$B$8,0)</f>
        <v>0</v>
      </c>
      <c r="E8" s="25" t="n">
        <f aca="false">SUM(B8:D8)</f>
        <v>14268</v>
      </c>
      <c r="F8" s="5"/>
      <c r="G8" s="5"/>
      <c r="H8" s="5"/>
    </row>
    <row r="9" customFormat="false" ht="15" hidden="false" customHeight="false" outlineLevel="0" collapsed="false">
      <c r="A9" s="4" t="s">
        <v>219</v>
      </c>
      <c r="B9" s="39" t="n">
        <f aca="false">SUM(B4:B8)</f>
        <v>466278.1</v>
      </c>
      <c r="C9" s="39" t="n">
        <f aca="false">SUM(C4:C8)</f>
        <v>187875.8</v>
      </c>
      <c r="D9" s="39" t="n">
        <f aca="false">SUM(D4:D8)</f>
        <v>40719</v>
      </c>
      <c r="E9" s="39" t="n">
        <f aca="false">SUM(E4:E8)</f>
        <v>694872.9</v>
      </c>
      <c r="F9" s="5"/>
      <c r="G9" s="5"/>
      <c r="H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 t="s">
        <v>220</v>
      </c>
      <c r="B11" s="35" t="n">
        <f aca="false">AR_Aging!H15-E9-B13</f>
        <v>62377.1</v>
      </c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13" t="s">
        <v>221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5" t="s">
        <v>222</v>
      </c>
      <c r="B13" s="40" t="n">
        <f aca="false">SUMIFS(Invoices!$J$2:$J$91,Invoices!$L$2:$L$91,"Not due",Invoices!$F$2:$F$91,"&gt;"&amp;EOMONTH($D$2,0))</f>
        <v>0</v>
      </c>
      <c r="C13" s="5"/>
      <c r="D13" s="5"/>
      <c r="E13" s="5"/>
      <c r="F13" s="5"/>
      <c r="G13" s="5"/>
      <c r="H13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2026-10-27T21:40:36Z</dcterms:created>
  <dc:creator>openpyxl</dc:creator>
  <dc:description/>
  <dc:language>en-US</dc:language>
  <cp:lastModifiedBy/>
  <dcterms:modified xsi:type="dcterms:W3CDTF">2026-10-28T01:40:37Z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