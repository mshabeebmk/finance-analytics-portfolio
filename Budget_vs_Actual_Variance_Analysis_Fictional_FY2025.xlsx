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out" sheetId="1" state="visible" r:id="rId3"/>
    <sheet name="Dashboard" sheetId="2" state="visible" r:id="rId4"/>
    <sheet name="Assumptions" sheetId="3" state="visible" r:id="rId5"/>
    <sheet name="Data" sheetId="4" state="visible" r:id="rId6"/>
    <sheet name="Variance_Analysis" sheetId="5" state="visible" r:id="rId7"/>
    <sheet name="Monthly_PnL" sheetId="6" state="visible" r:id="rId8"/>
    <sheet name="Price_Volume" sheetId="7" state="visible" r:id="rId9"/>
    <sheet name="Dept_Variance" sheetId="8" state="visible" r:id="rId10"/>
  </sheets>
  <definedNames>
    <definedName function="false" hidden="true" localSheetId="3" name="_xlnm._FilterDatabase" vbProcedure="false">Data!$A$1:$J$193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<sst xmlns="http://schemas.openxmlformats.org/spreadsheetml/2006/main" count="739" uniqueCount="130">
  <si>
    <t xml:space="preserve">Project 03 — Budget vs Actual Variance Analysis (FY2025)</t>
  </si>
  <si>
    <t xml:space="preserve">Portfolio project using FICTIONAL data for a fictional company (Northwind Field Services LLC). Not real employment results.</t>
  </si>
  <si>
    <t xml:space="preserve">Purpose</t>
  </si>
  <si>
    <t xml:space="preserve">Compare FY2025 actual results with budget, explain material variances, and split revenue variance into price and volume effects.</t>
  </si>
  <si>
    <t xml:space="preserve">Sheets</t>
  </si>
  <si>
    <t xml:space="preserve">1. Assumptions — fiscal year, materiality thresholds (yellow = editable).</t>
  </si>
  <si>
    <t xml:space="preserve">2. Data — monthly budget and actual by account and department (inputs, blue).</t>
  </si>
  <si>
    <t xml:space="preserve">3. Variance_Analysis — full-year budget vs actual by account: variance $, %, favourable/unfavourable, materiality flag and commentary.</t>
  </si>
  <si>
    <t xml:space="preserve">4. Monthly_PnL — monthly budget vs actual operating profit.</t>
  </si>
  <si>
    <t xml:space="preserve">5. Price_Volume — revenue variance split into volume and price effects by service line.</t>
  </si>
  <si>
    <t xml:space="preserve">6. Dept_Variance — operating expense variance by department.</t>
  </si>
  <si>
    <t xml:space="preserve">7. Dashboard — KPI tiles and charts.</t>
  </si>
  <si>
    <t xml:space="preserve">Sign convention</t>
  </si>
  <si>
    <t xml:space="preserve">Variance = Actual − Budget. Favourable (F) when revenue is above budget or costs are below budget; otherwise Unfavourable (U).</t>
  </si>
  <si>
    <t xml:space="preserve">Colour legend</t>
  </si>
  <si>
    <t xml:space="preserve">Blue = hardcoded input · Black = formula · Green = link from another sheet · Yellow fill = key assumption</t>
  </si>
  <si>
    <t xml:space="preserve">Author: Muhammed Shabeeb MK — Finance &amp; Accounting portfolio</t>
  </si>
  <si>
    <t xml:space="preserve">Budget vs Actual Dashboard — FY2025 (fictional data)</t>
  </si>
  <si>
    <t xml:space="preserve">Actual revenue ($)</t>
  </si>
  <si>
    <t xml:space="preserve">Revenue vs budget ($)</t>
  </si>
  <si>
    <t xml:space="preserve">Actual gross margin %</t>
  </si>
  <si>
    <t xml:space="preserve">Gross margin vs budget (pts)</t>
  </si>
  <si>
    <t xml:space="preserve">Actual operating profit ($)</t>
  </si>
  <si>
    <t xml:space="preserve">Operating profit vs budget ($)</t>
  </si>
  <si>
    <t xml:space="preserve">Opex vs budget ($)</t>
  </si>
  <si>
    <t xml:space="preserve">Material variances (count)</t>
  </si>
  <si>
    <t xml:space="preserve">Assumption</t>
  </si>
  <si>
    <t xml:space="preserve">Value</t>
  </si>
  <si>
    <t xml:space="preserve">Note</t>
  </si>
  <si>
    <t xml:space="preserve">Fiscal year</t>
  </si>
  <si>
    <t xml:space="preserve">FY2025</t>
  </si>
  <si>
    <t xml:space="preserve">Jan–Dec 2025</t>
  </si>
  <si>
    <t xml:space="preserve">Materiality threshold – absolute ($)</t>
  </si>
  <si>
    <t xml:space="preserve">Variance must exceed this amount…</t>
  </si>
  <si>
    <t xml:space="preserve">Materiality threshold – percentage</t>
  </si>
  <si>
    <t xml:space="preserve">…AND this % of budget to be flagged material</t>
  </si>
  <si>
    <t xml:space="preserve">Currency</t>
  </si>
  <si>
    <t xml:space="preserve">USD</t>
  </si>
  <si>
    <t xml:space="preserve">Fictional amounts</t>
  </si>
  <si>
    <t xml:space="preserve">Month</t>
  </si>
  <si>
    <t xml:space="preserve">Account</t>
  </si>
  <si>
    <t xml:space="preserve">Category</t>
  </si>
  <si>
    <t xml:space="preserve">Department</t>
  </si>
  <si>
    <t xml:space="preserve">Budget Units</t>
  </si>
  <si>
    <t xml:space="preserve">Budget Price ($)</t>
  </si>
  <si>
    <t xml:space="preserve">Actual Units</t>
  </si>
  <si>
    <t xml:space="preserve">Actual Price ($)</t>
  </si>
  <si>
    <t xml:space="preserve">Budget ($)</t>
  </si>
  <si>
    <t xml:space="preserve">Actual ($)</t>
  </si>
  <si>
    <t xml:space="preserve">Traffic Management Services</t>
  </si>
  <si>
    <t xml:space="preserve">Revenue</t>
  </si>
  <si>
    <t xml:space="preserve">Operations</t>
  </si>
  <si>
    <t xml:space="preserve">Equipment Rental</t>
  </si>
  <si>
    <t xml:space="preserve">Maintenance Contracts</t>
  </si>
  <si>
    <t xml:space="preserve">Direct Labour</t>
  </si>
  <si>
    <t xml:space="preserve">COGS</t>
  </si>
  <si>
    <t xml:space="preserve">Materials &amp; Consumables</t>
  </si>
  <si>
    <t xml:space="preserve">Subcontractors</t>
  </si>
  <si>
    <t xml:space="preserve">Admin Salaries</t>
  </si>
  <si>
    <t xml:space="preserve">Opex</t>
  </si>
  <si>
    <t xml:space="preserve">Finance &amp; Admin</t>
  </si>
  <si>
    <t xml:space="preserve">Sales Salaries &amp; Commission</t>
  </si>
  <si>
    <t xml:space="preserve">Sales &amp; Marketing</t>
  </si>
  <si>
    <t xml:space="preserve">Marketing</t>
  </si>
  <si>
    <t xml:space="preserve">Office Rent</t>
  </si>
  <si>
    <t xml:space="preserve">Utilities</t>
  </si>
  <si>
    <t xml:space="preserve">IT &amp; Software</t>
  </si>
  <si>
    <t xml:space="preserve">IT</t>
  </si>
  <si>
    <t xml:space="preserve">Travel</t>
  </si>
  <si>
    <t xml:space="preserve">Professional Fees</t>
  </si>
  <si>
    <t xml:space="preserve">Vehicle Fuel &amp; Maintenance</t>
  </si>
  <si>
    <t xml:space="preserve">Depreciation</t>
  </si>
  <si>
    <t xml:space="preserve">FY2025 Budget vs Actual — by account</t>
  </si>
  <si>
    <t xml:space="preserve">Variance = Actual − Budget · F = favourable · U = unfavourable · Material = beyond both thresholds in Assumptions</t>
  </si>
  <si>
    <t xml:space="preserve">Variance ($)</t>
  </si>
  <si>
    <t xml:space="preserve">Var %</t>
  </si>
  <si>
    <t xml:space="preserve">F/U</t>
  </si>
  <si>
    <t xml:space="preserve">Material?</t>
  </si>
  <si>
    <t xml:space="preserve">Commentary (analyst explanation)</t>
  </si>
  <si>
    <t xml:space="preserve">Volumes above plan from new highway-maintenance contracts; slight price discounting to win work.</t>
  </si>
  <si>
    <t xml:space="preserve">Fewer rental days than budget, partly offset by a price increase effective Q1.</t>
  </si>
  <si>
    <t xml:space="preserve">Higher contract count than plan (volume) plus a small price uplift on renewals.</t>
  </si>
  <si>
    <t xml:space="preserve">Total Revenue</t>
  </si>
  <si>
    <t xml:space="preserve">Cost of Services</t>
  </si>
  <si>
    <t xml:space="preserve">Overtime to cover higher service volumes and wage inflation above the budgeted rate.</t>
  </si>
  <si>
    <t xml:space="preserve">Supplier price increases on cones, barriers and signage consumables.</t>
  </si>
  <si>
    <t xml:space="preserve">Peak-season capacity outsourced; review make-vs-buy for recurring peaks.</t>
  </si>
  <si>
    <t xml:space="preserve">Total Cost of Services</t>
  </si>
  <si>
    <t xml:space="preserve">Gross Profit</t>
  </si>
  <si>
    <t xml:space="preserve">Gross margin %</t>
  </si>
  <si>
    <t xml:space="preserve">Operating Expenses</t>
  </si>
  <si>
    <t xml:space="preserve">Annual increments slightly above budget.</t>
  </si>
  <si>
    <t xml:space="preserve">Higher commission on above-plan service revenue.</t>
  </si>
  <si>
    <t xml:space="preserve">Campaign spend deferred most of the year, partly offset by Oct–Nov trade-show costs.</t>
  </si>
  <si>
    <t xml:space="preserve">Fixed lease — on budget.</t>
  </si>
  <si>
    <t xml:space="preserve">Tariff increase from Q2.</t>
  </si>
  <si>
    <t xml:space="preserve">New fleet-tracking and ERP licences not in original budget.</t>
  </si>
  <si>
    <t xml:space="preserve">Shift to virtual client meetings.</t>
  </si>
  <si>
    <t xml:space="preserve">Additional advisory fees for Corporate Tax registration and audit.</t>
  </si>
  <si>
    <t xml:space="preserve">Higher fuel prices and more site deployments.</t>
  </si>
  <si>
    <t xml:space="preserve">Asset base unchanged — on budget.</t>
  </si>
  <si>
    <t xml:space="preserve">Total Operating Expenses</t>
  </si>
  <si>
    <t xml:space="preserve">Operating Profit (EBIT)</t>
  </si>
  <si>
    <t xml:space="preserve">Operating margin %</t>
  </si>
  <si>
    <t xml:space="preserve">Monthly Budget vs Actual — Revenue and Operating Profit</t>
  </si>
  <si>
    <t xml:space="preserve">Budget Revenue</t>
  </si>
  <si>
    <t xml:space="preserve">Actual Revenue</t>
  </si>
  <si>
    <t xml:space="preserve">Budget Costs</t>
  </si>
  <si>
    <t xml:space="preserve">Actual Costs</t>
  </si>
  <si>
    <t xml:space="preserve">Budget EBIT</t>
  </si>
  <si>
    <t xml:space="preserve">Actual EBIT</t>
  </si>
  <si>
    <t xml:space="preserve">EBIT Variance</t>
  </si>
  <si>
    <t xml:space="preserve">Cum. EBIT Var.</t>
  </si>
  <si>
    <t xml:space="preserve">EBIT Var %</t>
  </si>
  <si>
    <t xml:space="preserve">FY Total</t>
  </si>
  <si>
    <t xml:space="preserve">Check vs Variance_Analysis EBIT variance (should be 0)</t>
  </si>
  <si>
    <t xml:space="preserve">Revenue variance — Price vs Volume (FY2025)</t>
  </si>
  <si>
    <t xml:space="preserve">Volume variance = (Actual units − Budget units) × Budget avg price · Price variance = (Actual avg price − Budget avg price) × Actual units</t>
  </si>
  <si>
    <t xml:space="preserve">Service line</t>
  </si>
  <si>
    <t xml:space="preserve">Budget Avg Price</t>
  </si>
  <si>
    <t xml:space="preserve">Actual Avg Price</t>
  </si>
  <si>
    <t xml:space="preserve">Budget Rev ($)</t>
  </si>
  <si>
    <t xml:space="preserve">Actual Rev ($)</t>
  </si>
  <si>
    <t xml:space="preserve">Volume Var ($)</t>
  </si>
  <si>
    <t xml:space="preserve">Price Var ($)</t>
  </si>
  <si>
    <t xml:space="preserve">Check</t>
  </si>
  <si>
    <t xml:space="preserve">Total</t>
  </si>
  <si>
    <t xml:space="preserve">Operating expenses by department (FY2025)</t>
  </si>
  <si>
    <t xml:space="preserve">Total Opex</t>
  </si>
  <si>
    <t xml:space="preserve">Check vs Variance_Analysis (should be 0)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</si>
</sst>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&quot;($&quot;#,##0\);\-"/>
    <numFmt numFmtId="166" formatCode="0.0%"/>
    <numFmt numFmtId="167" formatCode="0.0%;\(0.0%\);\-"/>
    <numFmt numFmtId="168" formatCode="0"/>
    <numFmt numFmtId="169" formatCode="\$#,##0"/>
    <numFmt numFmtId="170" formatCode="mmm\-yy"/>
    <numFmt numFmtId="171" formatCode="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C00000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595959"/>
      <name val="Arial"/>
      <family val="0"/>
      <charset val="1"/>
    </font>
    <font>
      <b val="true"/>
      <sz val="13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3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Arial"/>
        <charset val="1"/>
        <family val="0"/>
        <b val="1"/>
        <color rgb="FFC00000"/>
      </font>
    </dxf>
    <dxf>
      <font>
        <name val="Arial"/>
        <charset val="1"/>
        <family val="0"/>
        <b val="1"/>
        <color rgb="FF008000"/>
      </font>
    </dxf>
    <dxf>
      <fill>
        <patternFill>
          <bgColor rgb="FFFCE4D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CE4D6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4F81BD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operating profit: budget vs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Monthly_PnL!F3</c:f>
              <c:strCache>
                <c:ptCount val="1"/>
                <c:pt idx="0">
                  <c:v>Budget EBIT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Monthly_PnL!$A$4:$A$15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Monthly_PnL!$F$4:$F$15</c:f>
              <c:numCache>
                <c:formatCode>\$#,##0;"($"#,##0\);\-</c:formatCode>
                <c:ptCount val="12"/>
                <c:pt idx="0">
                  <c:v>168630</c:v>
                </c:pt>
                <c:pt idx="1">
                  <c:v>182520</c:v>
                </c:pt>
                <c:pt idx="2">
                  <c:v>225210</c:v>
                </c:pt>
                <c:pt idx="3">
                  <c:v>239000</c:v>
                </c:pt>
                <c:pt idx="4">
                  <c:v>262390</c:v>
                </c:pt>
                <c:pt idx="5">
                  <c:v>276280</c:v>
                </c:pt>
                <c:pt idx="6">
                  <c:v>215510</c:v>
                </c:pt>
                <c:pt idx="7">
                  <c:v>201720</c:v>
                </c:pt>
                <c:pt idx="8">
                  <c:v>266030</c:v>
                </c:pt>
                <c:pt idx="9">
                  <c:v>285780</c:v>
                </c:pt>
                <c:pt idx="10">
                  <c:v>271990</c:v>
                </c:pt>
                <c:pt idx="11">
                  <c:v>271990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Monthly_PnL!G3</c:f>
              <c:strCache>
                <c:ptCount val="1"/>
                <c:pt idx="0">
                  <c:v>Actual EBIT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Monthly_PnL!$A$4:$A$15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Monthly_PnL!$G$4:$G$15</c:f>
              <c:numCache>
                <c:formatCode>\$#,##0;"($"#,##0\);\-</c:formatCode>
                <c:ptCount val="12"/>
                <c:pt idx="0">
                  <c:v>155390</c:v>
                </c:pt>
                <c:pt idx="1">
                  <c:v>147983</c:v>
                </c:pt>
                <c:pt idx="2">
                  <c:v>192902</c:v>
                </c:pt>
                <c:pt idx="3">
                  <c:v>205251</c:v>
                </c:pt>
                <c:pt idx="4">
                  <c:v>225545</c:v>
                </c:pt>
                <c:pt idx="5">
                  <c:v>257400</c:v>
                </c:pt>
                <c:pt idx="6">
                  <c:v>183919</c:v>
                </c:pt>
                <c:pt idx="7">
                  <c:v>154526</c:v>
                </c:pt>
                <c:pt idx="8">
                  <c:v>225280</c:v>
                </c:pt>
                <c:pt idx="9">
                  <c:v>249931</c:v>
                </c:pt>
                <c:pt idx="10">
                  <c:v>224100</c:v>
                </c:pt>
                <c:pt idx="11">
                  <c:v>223381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3240968"/>
        <c:axId val="1101936"/>
      </c:lineChart>
      <c:catAx>
        <c:axId val="9324096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01936"/>
        <c:crosses val="autoZero"/>
        <c:auto val="1"/>
        <c:lblAlgn val="ctr"/>
        <c:lblOffset val="100"/>
        <c:noMultiLvlLbl val="0"/>
      </c:catAx>
      <c:valAx>
        <c:axId val="11019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2409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variance: volume vs price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Price_Volume!H4</c:f>
              <c:strCache>
                <c:ptCount val="1"/>
                <c:pt idx="0">
                  <c:v>Volume Var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Price_Volume!$A$5:$A$7</c:f>
              <c:strCache>
                <c:ptCount val="3"/>
                <c:pt idx="0">
                  <c:v>Traffic Management Services</c:v>
                </c:pt>
                <c:pt idx="1">
                  <c:v>Equipment Rental</c:v>
                </c:pt>
                <c:pt idx="2">
                  <c:v>Maintenance Contracts</c:v>
                </c:pt>
              </c:strCache>
            </c:strRef>
          </c:cat>
          <c:val>
            <c:numRef>
              <c:f>Price_Volume!$H$5:$H$7</c:f>
              <c:numCache>
                <c:formatCode>\$#,##0;"($"#,##0\);\-</c:formatCode>
                <c:ptCount val="3"/>
                <c:pt idx="0">
                  <c:v>307050</c:v>
                </c:pt>
                <c:pt idx="1">
                  <c:v>-147560</c:v>
                </c:pt>
                <c:pt idx="2">
                  <c:v>109200</c:v>
                </c:pt>
              </c:numCache>
            </c:numRef>
          </c:val>
        </c:ser>
        <c:ser>
          <c:idx val="1"/>
          <c:order val="1"/>
          <c:tx>
            <c:strRef>
              <c:f>Price_Volume!I4</c:f>
              <c:strCache>
                <c:ptCount val="1"/>
                <c:pt idx="0">
                  <c:v>Price Var ($)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Price_Volume!$A$5:$A$7</c:f>
              <c:strCache>
                <c:ptCount val="3"/>
                <c:pt idx="0">
                  <c:v>Traffic Management Services</c:v>
                </c:pt>
                <c:pt idx="1">
                  <c:v>Equipment Rental</c:v>
                </c:pt>
                <c:pt idx="2">
                  <c:v>Maintenance Contracts</c:v>
                </c:pt>
              </c:strCache>
            </c:strRef>
          </c:cat>
          <c:val>
            <c:numRef>
              <c:f>Price_Volume!$I$5:$I$7</c:f>
              <c:numCache>
                <c:formatCode>\$#,##0;"($"#,##0\);\-</c:formatCode>
                <c:ptCount val="3"/>
                <c:pt idx="0">
                  <c:v>-158919.999999999</c:v>
                </c:pt>
                <c:pt idx="1">
                  <c:v>85354.9999999999</c:v>
                </c:pt>
                <c:pt idx="2">
                  <c:v>40333.0000000001</c:v>
                </c:pt>
              </c:numCache>
            </c:numRef>
          </c:val>
        </c:ser>
        <c:gapWidth val="150"/>
        <c:overlap val="0"/>
        <c:axId val="42088465"/>
        <c:axId val="94398408"/>
      </c:barChart>
      <c:catAx>
        <c:axId val="420884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398408"/>
        <c:crosses val="autoZero"/>
        <c:auto val="1"/>
        <c:lblAlgn val="ctr"/>
        <c:lblOffset val="100"/>
        <c:noMultiLvlLbl val="0"/>
      </c:catAx>
      <c:valAx>
        <c:axId val="943984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0884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Opex variance by department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Dept_Variance!$A$4:$A$7</c:f>
              <c:strCache>
                <c:ptCount val="4"/>
                <c:pt idx="0">
                  <c:v>Operations</c:v>
                </c:pt>
                <c:pt idx="1">
                  <c:v>Sales &amp; Marketing</c:v>
                </c:pt>
                <c:pt idx="2">
                  <c:v>Finance &amp; Admin</c:v>
                </c:pt>
                <c:pt idx="3">
                  <c:v>IT</c:v>
                </c:pt>
              </c:strCache>
            </c:strRef>
          </c:cat>
          <c:val>
            <c:numRef>
              <c:f>Dept_Variance!$D$4:$D$7</c:f>
              <c:numCache>
                <c:formatCode>\$#,##0;"($"#,##0\);\-</c:formatCode>
                <c:ptCount val="4"/>
                <c:pt idx="0">
                  <c:v>29300</c:v>
                </c:pt>
                <c:pt idx="1">
                  <c:v>-13400</c:v>
                </c:pt>
                <c:pt idx="2">
                  <c:v>48600</c:v>
                </c:pt>
                <c:pt idx="3">
                  <c:v>27500</c:v>
                </c:pt>
              </c:numCache>
            </c:numRef>
          </c:val>
        </c:ser>
        <c:gapWidth val="150"/>
        <c:overlap val="0"/>
        <c:axId val="59619537"/>
        <c:axId val="93394624"/>
      </c:barChart>
      <c:catAx>
        <c:axId val="596195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394624"/>
        <c:crosses val="autoZero"/>
        <c:auto val="1"/>
        <c:lblAlgn val="ctr"/>
        <c:lblOffset val="100"/>
        <c:noMultiLvlLbl val="0"/>
      </c:catAx>
      <c:valAx>
        <c:axId val="933946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6195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operating profit variance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Monthly_PnL!$A$4:$A$15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Monthly_PnL!$I$4:$I$15</c:f>
              <c:numCache>
                <c:formatCode>\$#,##0;"($"#,##0\);\-</c:formatCode>
                <c:ptCount val="12"/>
                <c:pt idx="0">
                  <c:v>-13240</c:v>
                </c:pt>
                <c:pt idx="1">
                  <c:v>-47777</c:v>
                </c:pt>
                <c:pt idx="2">
                  <c:v>-80085</c:v>
                </c:pt>
                <c:pt idx="3">
                  <c:v>-113834</c:v>
                </c:pt>
                <c:pt idx="4">
                  <c:v>-150679</c:v>
                </c:pt>
                <c:pt idx="5">
                  <c:v>-169559</c:v>
                </c:pt>
                <c:pt idx="6">
                  <c:v>-201150</c:v>
                </c:pt>
                <c:pt idx="7">
                  <c:v>-248344</c:v>
                </c:pt>
                <c:pt idx="8">
                  <c:v>-289094</c:v>
                </c:pt>
                <c:pt idx="9">
                  <c:v>-324943</c:v>
                </c:pt>
                <c:pt idx="10">
                  <c:v>-372833</c:v>
                </c:pt>
                <c:pt idx="11">
                  <c:v>-421442</c:v>
                </c:pt>
              </c:numCache>
            </c:numRef>
          </c:val>
        </c:ser>
        <c:gapWidth val="150"/>
        <c:overlap val="0"/>
        <c:axId val="63535109"/>
        <c:axId val="99826068"/>
      </c:barChart>
      <c:catAx>
        <c:axId val="6353510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826068"/>
        <c:crosses val="autoZero"/>
        <c:auto val="1"/>
        <c:lblAlgn val="ctr"/>
        <c:lblOffset val="100"/>
        <c:noMultiLvlLbl val="0"/>
      </c:catAx>
      <c:valAx>
        <c:axId val="998260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53510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102240</xdr:rowOff>
    </xdr:from>
    <xdr:to>
      <xdr:col>3</xdr:col>
      <xdr:colOff>1734480</xdr:colOff>
      <xdr:row>24</xdr:row>
      <xdr:rowOff>135000</xdr:rowOff>
    </xdr:to>
    <xdr:graphicFrame>
      <xdr:nvGraphicFramePr>
        <xdr:cNvPr id="0" name="Chart 1"/>
        <xdr:cNvGraphicFramePr/>
      </xdr:nvGraphicFramePr>
      <xdr:xfrm>
        <a:off x="0" y="20955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10</xdr:row>
      <xdr:rowOff>102240</xdr:rowOff>
    </xdr:from>
    <xdr:to>
      <xdr:col>8</xdr:col>
      <xdr:colOff>181800</xdr:colOff>
      <xdr:row>24</xdr:row>
      <xdr:rowOff>135000</xdr:rowOff>
    </xdr:to>
    <xdr:graphicFrame>
      <xdr:nvGraphicFramePr>
        <xdr:cNvPr id="1" name="Chart 2"/>
        <xdr:cNvGraphicFramePr/>
      </xdr:nvGraphicFramePr>
      <xdr:xfrm>
        <a:off x="3665160" y="20955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26</xdr:row>
      <xdr:rowOff>102240</xdr:rowOff>
    </xdr:from>
    <xdr:to>
      <xdr:col>3</xdr:col>
      <xdr:colOff>1734480</xdr:colOff>
      <xdr:row>40</xdr:row>
      <xdr:rowOff>135000</xdr:rowOff>
    </xdr:to>
    <xdr:graphicFrame>
      <xdr:nvGraphicFramePr>
        <xdr:cNvPr id="2" name="Chart 3"/>
        <xdr:cNvGraphicFramePr/>
      </xdr:nvGraphicFramePr>
      <xdr:xfrm>
        <a:off x="0" y="5143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0</xdr:colOff>
      <xdr:row>26</xdr:row>
      <xdr:rowOff>102240</xdr:rowOff>
    </xdr:from>
    <xdr:to>
      <xdr:col>8</xdr:col>
      <xdr:colOff>181800</xdr:colOff>
      <xdr:row>40</xdr:row>
      <xdr:rowOff>135000</xdr:rowOff>
    </xdr:to>
    <xdr:graphicFrame>
      <xdr:nvGraphicFramePr>
        <xdr:cNvPr id="3" name="Chart 4"/>
        <xdr:cNvGraphicFramePr/>
      </xdr:nvGraphicFramePr>
      <xdr:xfrm>
        <a:off x="3665160" y="5143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4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4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/>
    </row>
    <row r="19" customFormat="false" ht="15" hidden="false" customHeight="false" outlineLevel="0" collapsed="false">
      <c r="A19" s="4" t="s">
        <v>14</v>
      </c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3"/>
    </row>
    <row r="22" customFormat="false" ht="15" hidden="false" customHeight="false" outlineLevel="0" collapsed="false">
      <c r="A22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30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1" t="s">
        <v>17</v>
      </c>
    </row>
    <row r="3" customFormat="false" ht="16.15" hidden="false" customHeight="false" outlineLevel="0" collapsed="false">
      <c r="A3" s="5" t="s">
        <v>18</v>
      </c>
      <c r="B3" s="6" t="n">
        <f aca="false">Variance_Analysis!D9</f>
        <v>10523108</v>
      </c>
      <c r="D3" s="5" t="s">
        <v>19</v>
      </c>
      <c r="E3" s="6" t="n">
        <f aca="false">Variance_Analysis!E9</f>
        <v>235458</v>
      </c>
    </row>
    <row r="5" customFormat="false" ht="16.15" hidden="false" customHeight="false" outlineLevel="0" collapsed="false">
      <c r="A5" s="5" t="s">
        <v>20</v>
      </c>
      <c r="B5" s="7" t="n">
        <f aca="false">Variance_Analysis!D18</f>
        <v>0.496584089035293</v>
      </c>
      <c r="D5" s="5" t="s">
        <v>21</v>
      </c>
      <c r="E5" s="8" t="n">
        <f aca="false">Variance_Analysis!E18</f>
        <v>-0.0433885966606632</v>
      </c>
    </row>
    <row r="7" customFormat="false" ht="16.15" hidden="false" customHeight="false" outlineLevel="0" collapsed="false">
      <c r="A7" s="5" t="s">
        <v>22</v>
      </c>
      <c r="B7" s="6" t="n">
        <f aca="false">Variance_Analysis!D33</f>
        <v>2445608</v>
      </c>
      <c r="D7" s="5" t="s">
        <v>23</v>
      </c>
      <c r="E7" s="6" t="n">
        <f aca="false">Variance_Analysis!E33</f>
        <v>-421442</v>
      </c>
    </row>
    <row r="9" customFormat="false" ht="16.15" hidden="false" customHeight="false" outlineLevel="0" collapsed="false">
      <c r="A9" s="5" t="s">
        <v>24</v>
      </c>
      <c r="B9" s="6" t="n">
        <f aca="false">Variance_Analysis!E31</f>
        <v>92000</v>
      </c>
      <c r="D9" s="5" t="s">
        <v>25</v>
      </c>
      <c r="E9" s="9" t="n">
        <f aca="false">COUNTIF(Variance_Analysis!H5:H34,"Yes")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10" t="s">
        <v>26</v>
      </c>
      <c r="B1" s="10" t="s">
        <v>27</v>
      </c>
      <c r="C1" s="10" t="s">
        <v>28</v>
      </c>
    </row>
    <row r="2" customFormat="false" ht="15" hidden="false" customHeight="false" outlineLevel="0" collapsed="false">
      <c r="A2" s="3" t="s">
        <v>29</v>
      </c>
      <c r="B2" s="11" t="s">
        <v>30</v>
      </c>
      <c r="C2" s="12" t="s">
        <v>31</v>
      </c>
    </row>
    <row r="3" customFormat="false" ht="15" hidden="false" customHeight="false" outlineLevel="0" collapsed="false">
      <c r="A3" s="3" t="s">
        <v>32</v>
      </c>
      <c r="B3" s="13" t="n">
        <v>25000</v>
      </c>
      <c r="C3" s="12" t="s">
        <v>33</v>
      </c>
    </row>
    <row r="4" customFormat="false" ht="15" hidden="false" customHeight="false" outlineLevel="0" collapsed="false">
      <c r="A4" s="3" t="s">
        <v>34</v>
      </c>
      <c r="B4" s="14" t="n">
        <v>0.05</v>
      </c>
      <c r="C4" s="12" t="s">
        <v>35</v>
      </c>
    </row>
    <row r="5" customFormat="false" ht="15" hidden="false" customHeight="false" outlineLevel="0" collapsed="false">
      <c r="A5" s="3" t="s">
        <v>36</v>
      </c>
      <c r="B5" s="11" t="s">
        <v>37</v>
      </c>
      <c r="C5" s="12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18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10" min="9" style="0" width="14"/>
  </cols>
  <sheetData>
    <row r="1" customFormat="false" ht="26.85" hidden="false" customHeight="false" outlineLevel="0" collapsed="false">
      <c r="A1" s="10" t="s">
        <v>39</v>
      </c>
      <c r="B1" s="10" t="s">
        <v>40</v>
      </c>
      <c r="C1" s="10" t="s">
        <v>41</v>
      </c>
      <c r="D1" s="10" t="s">
        <v>42</v>
      </c>
      <c r="E1" s="10" t="s">
        <v>43</v>
      </c>
      <c r="F1" s="10" t="s">
        <v>44</v>
      </c>
      <c r="G1" s="10" t="s">
        <v>45</v>
      </c>
      <c r="H1" s="10" t="s">
        <v>46</v>
      </c>
      <c r="I1" s="10" t="s">
        <v>47</v>
      </c>
      <c r="J1" s="10" t="s">
        <v>48</v>
      </c>
    </row>
    <row r="2" customFormat="false" ht="15" hidden="false" customHeight="false" outlineLevel="0" collapsed="false">
      <c r="A2" s="15" t="n">
        <v>45658</v>
      </c>
      <c r="B2" s="16" t="s">
        <v>49</v>
      </c>
      <c r="C2" s="16" t="s">
        <v>50</v>
      </c>
      <c r="D2" s="16" t="s">
        <v>51</v>
      </c>
      <c r="E2" s="16" t="n">
        <v>357</v>
      </c>
      <c r="F2" s="17" t="n">
        <v>1150</v>
      </c>
      <c r="G2" s="16" t="n">
        <v>385</v>
      </c>
      <c r="H2" s="17" t="n">
        <v>1124</v>
      </c>
      <c r="I2" s="18" t="n">
        <f aca="false">E2*F2</f>
        <v>410550</v>
      </c>
      <c r="J2" s="18" t="n">
        <f aca="false">G2*H2</f>
        <v>432740</v>
      </c>
    </row>
    <row r="3" customFormat="false" ht="15" hidden="false" customHeight="false" outlineLevel="0" collapsed="false">
      <c r="A3" s="15" t="n">
        <v>45658</v>
      </c>
      <c r="B3" s="16" t="s">
        <v>52</v>
      </c>
      <c r="C3" s="16" t="s">
        <v>50</v>
      </c>
      <c r="D3" s="16" t="s">
        <v>51</v>
      </c>
      <c r="E3" s="16" t="n">
        <v>221</v>
      </c>
      <c r="F3" s="17" t="n">
        <v>680</v>
      </c>
      <c r="G3" s="16" t="n">
        <v>212</v>
      </c>
      <c r="H3" s="17" t="n">
        <v>717</v>
      </c>
      <c r="I3" s="18" t="n">
        <f aca="false">E3*F3</f>
        <v>150280</v>
      </c>
      <c r="J3" s="18" t="n">
        <f aca="false">G3*H3</f>
        <v>152004</v>
      </c>
    </row>
    <row r="4" customFormat="false" ht="15" hidden="false" customHeight="false" outlineLevel="0" collapsed="false">
      <c r="A4" s="15" t="n">
        <v>45658</v>
      </c>
      <c r="B4" s="16" t="s">
        <v>53</v>
      </c>
      <c r="C4" s="16" t="s">
        <v>50</v>
      </c>
      <c r="D4" s="16" t="s">
        <v>51</v>
      </c>
      <c r="E4" s="16" t="n">
        <v>32</v>
      </c>
      <c r="F4" s="17" t="n">
        <v>5200</v>
      </c>
      <c r="G4" s="16" t="n">
        <v>34</v>
      </c>
      <c r="H4" s="17" t="n">
        <v>5319</v>
      </c>
      <c r="I4" s="18" t="n">
        <f aca="false">E4*F4</f>
        <v>166400</v>
      </c>
      <c r="J4" s="18" t="n">
        <f aca="false">G4*H4</f>
        <v>180846</v>
      </c>
    </row>
    <row r="5" customFormat="false" ht="15" hidden="false" customHeight="false" outlineLevel="0" collapsed="false">
      <c r="A5" s="15" t="n">
        <v>45658</v>
      </c>
      <c r="B5" s="16" t="s">
        <v>54</v>
      </c>
      <c r="C5" s="16" t="s">
        <v>55</v>
      </c>
      <c r="D5" s="16" t="s">
        <v>51</v>
      </c>
      <c r="E5" s="16"/>
      <c r="F5" s="16"/>
      <c r="G5" s="16"/>
      <c r="H5" s="16"/>
      <c r="I5" s="17" t="n">
        <v>218200</v>
      </c>
      <c r="J5" s="17" t="n">
        <v>232100</v>
      </c>
    </row>
    <row r="6" customFormat="false" ht="15" hidden="false" customHeight="false" outlineLevel="0" collapsed="false">
      <c r="A6" s="15" t="n">
        <v>45658</v>
      </c>
      <c r="B6" s="16" t="s">
        <v>56</v>
      </c>
      <c r="C6" s="16" t="s">
        <v>55</v>
      </c>
      <c r="D6" s="16" t="s">
        <v>51</v>
      </c>
      <c r="E6" s="16"/>
      <c r="F6" s="16"/>
      <c r="G6" s="16"/>
      <c r="H6" s="16"/>
      <c r="I6" s="17" t="n">
        <v>65500</v>
      </c>
      <c r="J6" s="17" t="n">
        <v>77000</v>
      </c>
    </row>
    <row r="7" customFormat="false" ht="15" hidden="false" customHeight="false" outlineLevel="0" collapsed="false">
      <c r="A7" s="15" t="n">
        <v>45658</v>
      </c>
      <c r="B7" s="16" t="s">
        <v>57</v>
      </c>
      <c r="C7" s="16" t="s">
        <v>55</v>
      </c>
      <c r="D7" s="16" t="s">
        <v>51</v>
      </c>
      <c r="E7" s="16"/>
      <c r="F7" s="16"/>
      <c r="G7" s="16"/>
      <c r="H7" s="16"/>
      <c r="I7" s="17" t="n">
        <v>50900</v>
      </c>
      <c r="J7" s="17" t="n">
        <v>69400</v>
      </c>
    </row>
    <row r="8" customFormat="false" ht="15" hidden="false" customHeight="false" outlineLevel="0" collapsed="false">
      <c r="A8" s="15" t="n">
        <v>45658</v>
      </c>
      <c r="B8" s="16" t="s">
        <v>58</v>
      </c>
      <c r="C8" s="16" t="s">
        <v>59</v>
      </c>
      <c r="D8" s="16" t="s">
        <v>60</v>
      </c>
      <c r="E8" s="16"/>
      <c r="F8" s="16"/>
      <c r="G8" s="16"/>
      <c r="H8" s="16"/>
      <c r="I8" s="17" t="n">
        <v>62000</v>
      </c>
      <c r="J8" s="17" t="n">
        <v>64600</v>
      </c>
    </row>
    <row r="9" customFormat="false" ht="15" hidden="false" customHeight="false" outlineLevel="0" collapsed="false">
      <c r="A9" s="15" t="n">
        <v>45658</v>
      </c>
      <c r="B9" s="16" t="s">
        <v>61</v>
      </c>
      <c r="C9" s="16" t="s">
        <v>59</v>
      </c>
      <c r="D9" s="16" t="s">
        <v>62</v>
      </c>
      <c r="E9" s="16"/>
      <c r="F9" s="16"/>
      <c r="G9" s="16"/>
      <c r="H9" s="16"/>
      <c r="I9" s="17" t="n">
        <v>38000</v>
      </c>
      <c r="J9" s="17" t="n">
        <v>41700</v>
      </c>
    </row>
    <row r="10" customFormat="false" ht="15" hidden="false" customHeight="false" outlineLevel="0" collapsed="false">
      <c r="A10" s="15" t="n">
        <v>45658</v>
      </c>
      <c r="B10" s="16" t="s">
        <v>63</v>
      </c>
      <c r="C10" s="16" t="s">
        <v>59</v>
      </c>
      <c r="D10" s="16" t="s">
        <v>62</v>
      </c>
      <c r="E10" s="16"/>
      <c r="F10" s="16"/>
      <c r="G10" s="16"/>
      <c r="H10" s="16"/>
      <c r="I10" s="17" t="n">
        <v>14000</v>
      </c>
      <c r="J10" s="17" t="n">
        <v>10300</v>
      </c>
    </row>
    <row r="11" customFormat="false" ht="15" hidden="false" customHeight="false" outlineLevel="0" collapsed="false">
      <c r="A11" s="15" t="n">
        <v>45658</v>
      </c>
      <c r="B11" s="16" t="s">
        <v>64</v>
      </c>
      <c r="C11" s="16" t="s">
        <v>59</v>
      </c>
      <c r="D11" s="16" t="s">
        <v>60</v>
      </c>
      <c r="E11" s="16"/>
      <c r="F11" s="16"/>
      <c r="G11" s="16"/>
      <c r="H11" s="16"/>
      <c r="I11" s="17" t="n">
        <v>22000</v>
      </c>
      <c r="J11" s="17" t="n">
        <v>22000</v>
      </c>
    </row>
    <row r="12" customFormat="false" ht="15" hidden="false" customHeight="false" outlineLevel="0" collapsed="false">
      <c r="A12" s="15" t="n">
        <v>45658</v>
      </c>
      <c r="B12" s="16" t="s">
        <v>65</v>
      </c>
      <c r="C12" s="16" t="s">
        <v>59</v>
      </c>
      <c r="D12" s="16" t="s">
        <v>60</v>
      </c>
      <c r="E12" s="16"/>
      <c r="F12" s="16"/>
      <c r="G12" s="16"/>
      <c r="H12" s="16"/>
      <c r="I12" s="17" t="n">
        <v>5500</v>
      </c>
      <c r="J12" s="17" t="n">
        <v>6000</v>
      </c>
    </row>
    <row r="13" customFormat="false" ht="15" hidden="false" customHeight="false" outlineLevel="0" collapsed="false">
      <c r="A13" s="15" t="n">
        <v>45658</v>
      </c>
      <c r="B13" s="16" t="s">
        <v>66</v>
      </c>
      <c r="C13" s="16" t="s">
        <v>59</v>
      </c>
      <c r="D13" s="16" t="s">
        <v>67</v>
      </c>
      <c r="E13" s="16"/>
      <c r="F13" s="16"/>
      <c r="G13" s="16"/>
      <c r="H13" s="16"/>
      <c r="I13" s="17" t="n">
        <v>12000</v>
      </c>
      <c r="J13" s="17" t="n">
        <v>13700</v>
      </c>
    </row>
    <row r="14" customFormat="false" ht="15" hidden="false" customHeight="false" outlineLevel="0" collapsed="false">
      <c r="A14" s="15" t="n">
        <v>45658</v>
      </c>
      <c r="B14" s="16" t="s">
        <v>68</v>
      </c>
      <c r="C14" s="16" t="s">
        <v>59</v>
      </c>
      <c r="D14" s="16" t="s">
        <v>62</v>
      </c>
      <c r="E14" s="16"/>
      <c r="F14" s="16"/>
      <c r="G14" s="16"/>
      <c r="H14" s="16"/>
      <c r="I14" s="17" t="n">
        <v>6500</v>
      </c>
      <c r="J14" s="17" t="n">
        <v>5600</v>
      </c>
    </row>
    <row r="15" customFormat="false" ht="15" hidden="false" customHeight="false" outlineLevel="0" collapsed="false">
      <c r="A15" s="15" t="n">
        <v>45658</v>
      </c>
      <c r="B15" s="16" t="s">
        <v>69</v>
      </c>
      <c r="C15" s="16" t="s">
        <v>59</v>
      </c>
      <c r="D15" s="16" t="s">
        <v>60</v>
      </c>
      <c r="E15" s="16"/>
      <c r="F15" s="16"/>
      <c r="G15" s="16"/>
      <c r="H15" s="16"/>
      <c r="I15" s="17" t="n">
        <v>8000</v>
      </c>
      <c r="J15" s="17" t="n">
        <v>10900</v>
      </c>
    </row>
    <row r="16" customFormat="false" ht="15" hidden="false" customHeight="false" outlineLevel="0" collapsed="false">
      <c r="A16" s="15" t="n">
        <v>45658</v>
      </c>
      <c r="B16" s="16" t="s">
        <v>70</v>
      </c>
      <c r="C16" s="16" t="s">
        <v>59</v>
      </c>
      <c r="D16" s="16" t="s">
        <v>51</v>
      </c>
      <c r="E16" s="16"/>
      <c r="F16" s="16"/>
      <c r="G16" s="16"/>
      <c r="H16" s="16"/>
      <c r="I16" s="17" t="n">
        <v>26000</v>
      </c>
      <c r="J16" s="17" t="n">
        <v>26900</v>
      </c>
    </row>
    <row r="17" customFormat="false" ht="15" hidden="false" customHeight="false" outlineLevel="0" collapsed="false">
      <c r="A17" s="15" t="n">
        <v>45658</v>
      </c>
      <c r="B17" s="16" t="s">
        <v>71</v>
      </c>
      <c r="C17" s="16" t="s">
        <v>59</v>
      </c>
      <c r="D17" s="16" t="s">
        <v>60</v>
      </c>
      <c r="E17" s="16"/>
      <c r="F17" s="16"/>
      <c r="G17" s="16"/>
      <c r="H17" s="16"/>
      <c r="I17" s="17" t="n">
        <v>30000</v>
      </c>
      <c r="J17" s="17" t="n">
        <v>30000</v>
      </c>
    </row>
    <row r="18" customFormat="false" ht="15" hidden="false" customHeight="false" outlineLevel="0" collapsed="false">
      <c r="A18" s="15" t="n">
        <v>45689</v>
      </c>
      <c r="B18" s="16" t="s">
        <v>49</v>
      </c>
      <c r="C18" s="16" t="s">
        <v>50</v>
      </c>
      <c r="D18" s="16" t="s">
        <v>51</v>
      </c>
      <c r="E18" s="16" t="n">
        <v>370</v>
      </c>
      <c r="F18" s="17" t="n">
        <v>1150</v>
      </c>
      <c r="G18" s="16" t="n">
        <v>377</v>
      </c>
      <c r="H18" s="17" t="n">
        <v>1108</v>
      </c>
      <c r="I18" s="18" t="n">
        <f aca="false">E18*F18</f>
        <v>425500</v>
      </c>
      <c r="J18" s="18" t="n">
        <f aca="false">G18*H18</f>
        <v>417716</v>
      </c>
    </row>
    <row r="19" customFormat="false" ht="15" hidden="false" customHeight="false" outlineLevel="0" collapsed="false">
      <c r="A19" s="15" t="n">
        <v>45689</v>
      </c>
      <c r="B19" s="16" t="s">
        <v>52</v>
      </c>
      <c r="C19" s="16" t="s">
        <v>50</v>
      </c>
      <c r="D19" s="16" t="s">
        <v>51</v>
      </c>
      <c r="E19" s="16" t="n">
        <v>229</v>
      </c>
      <c r="F19" s="17" t="n">
        <v>680</v>
      </c>
      <c r="G19" s="16" t="n">
        <v>223</v>
      </c>
      <c r="H19" s="17" t="n">
        <v>713</v>
      </c>
      <c r="I19" s="18" t="n">
        <f aca="false">E19*F19</f>
        <v>155720</v>
      </c>
      <c r="J19" s="18" t="n">
        <f aca="false">G19*H19</f>
        <v>158999</v>
      </c>
    </row>
    <row r="20" customFormat="false" ht="15" hidden="false" customHeight="false" outlineLevel="0" collapsed="false">
      <c r="A20" s="15" t="n">
        <v>45689</v>
      </c>
      <c r="B20" s="16" t="s">
        <v>53</v>
      </c>
      <c r="C20" s="16" t="s">
        <v>50</v>
      </c>
      <c r="D20" s="16" t="s">
        <v>51</v>
      </c>
      <c r="E20" s="16" t="n">
        <v>33</v>
      </c>
      <c r="F20" s="17" t="n">
        <v>5200</v>
      </c>
      <c r="G20" s="16" t="n">
        <v>32</v>
      </c>
      <c r="H20" s="17" t="n">
        <v>5299</v>
      </c>
      <c r="I20" s="18" t="n">
        <f aca="false">E20*F20</f>
        <v>171600</v>
      </c>
      <c r="J20" s="18" t="n">
        <f aca="false">G20*H20</f>
        <v>169568</v>
      </c>
    </row>
    <row r="21" customFormat="false" ht="15" hidden="false" customHeight="false" outlineLevel="0" collapsed="false">
      <c r="A21" s="15" t="n">
        <v>45689</v>
      </c>
      <c r="B21" s="16" t="s">
        <v>54</v>
      </c>
      <c r="C21" s="16" t="s">
        <v>55</v>
      </c>
      <c r="D21" s="16" t="s">
        <v>51</v>
      </c>
      <c r="E21" s="16"/>
      <c r="F21" s="16"/>
      <c r="G21" s="16"/>
      <c r="H21" s="16"/>
      <c r="I21" s="17" t="n">
        <v>225800</v>
      </c>
      <c r="J21" s="17" t="n">
        <v>228300</v>
      </c>
    </row>
    <row r="22" customFormat="false" ht="15" hidden="false" customHeight="false" outlineLevel="0" collapsed="false">
      <c r="A22" s="15" t="n">
        <v>45689</v>
      </c>
      <c r="B22" s="16" t="s">
        <v>56</v>
      </c>
      <c r="C22" s="16" t="s">
        <v>55</v>
      </c>
      <c r="D22" s="16" t="s">
        <v>51</v>
      </c>
      <c r="E22" s="16"/>
      <c r="F22" s="16"/>
      <c r="G22" s="16"/>
      <c r="H22" s="16"/>
      <c r="I22" s="17" t="n">
        <v>67800</v>
      </c>
      <c r="J22" s="17" t="n">
        <v>75900</v>
      </c>
    </row>
    <row r="23" customFormat="false" ht="15" hidden="false" customHeight="false" outlineLevel="0" collapsed="false">
      <c r="A23" s="15" t="n">
        <v>45689</v>
      </c>
      <c r="B23" s="16" t="s">
        <v>57</v>
      </c>
      <c r="C23" s="16" t="s">
        <v>55</v>
      </c>
      <c r="D23" s="16" t="s">
        <v>51</v>
      </c>
      <c r="E23" s="16"/>
      <c r="F23" s="16"/>
      <c r="G23" s="16"/>
      <c r="H23" s="16"/>
      <c r="I23" s="17" t="n">
        <v>52700</v>
      </c>
      <c r="J23" s="17" t="n">
        <v>63300</v>
      </c>
    </row>
    <row r="24" customFormat="false" ht="15" hidden="false" customHeight="false" outlineLevel="0" collapsed="false">
      <c r="A24" s="15" t="n">
        <v>45689</v>
      </c>
      <c r="B24" s="16" t="s">
        <v>58</v>
      </c>
      <c r="C24" s="16" t="s">
        <v>59</v>
      </c>
      <c r="D24" s="16" t="s">
        <v>60</v>
      </c>
      <c r="E24" s="16"/>
      <c r="F24" s="16"/>
      <c r="G24" s="16"/>
      <c r="H24" s="16"/>
      <c r="I24" s="17" t="n">
        <v>62000</v>
      </c>
      <c r="J24" s="17" t="n">
        <v>58800</v>
      </c>
    </row>
    <row r="25" customFormat="false" ht="15" hidden="false" customHeight="false" outlineLevel="0" collapsed="false">
      <c r="A25" s="15" t="n">
        <v>45689</v>
      </c>
      <c r="B25" s="16" t="s">
        <v>61</v>
      </c>
      <c r="C25" s="16" t="s">
        <v>59</v>
      </c>
      <c r="D25" s="16" t="s">
        <v>62</v>
      </c>
      <c r="E25" s="16"/>
      <c r="F25" s="16"/>
      <c r="G25" s="16"/>
      <c r="H25" s="16"/>
      <c r="I25" s="17" t="n">
        <v>38000</v>
      </c>
      <c r="J25" s="17" t="n">
        <v>41600</v>
      </c>
    </row>
    <row r="26" customFormat="false" ht="15" hidden="false" customHeight="false" outlineLevel="0" collapsed="false">
      <c r="A26" s="15" t="n">
        <v>45689</v>
      </c>
      <c r="B26" s="16" t="s">
        <v>63</v>
      </c>
      <c r="C26" s="16" t="s">
        <v>59</v>
      </c>
      <c r="D26" s="16" t="s">
        <v>62</v>
      </c>
      <c r="E26" s="16"/>
      <c r="F26" s="16"/>
      <c r="G26" s="16"/>
      <c r="H26" s="16"/>
      <c r="I26" s="17" t="n">
        <v>14000</v>
      </c>
      <c r="J26" s="17" t="n">
        <v>10500</v>
      </c>
    </row>
    <row r="27" customFormat="false" ht="15" hidden="false" customHeight="false" outlineLevel="0" collapsed="false">
      <c r="A27" s="15" t="n">
        <v>45689</v>
      </c>
      <c r="B27" s="16" t="s">
        <v>64</v>
      </c>
      <c r="C27" s="16" t="s">
        <v>59</v>
      </c>
      <c r="D27" s="16" t="s">
        <v>60</v>
      </c>
      <c r="E27" s="16"/>
      <c r="F27" s="16"/>
      <c r="G27" s="16"/>
      <c r="H27" s="16"/>
      <c r="I27" s="17" t="n">
        <v>22000</v>
      </c>
      <c r="J27" s="17" t="n">
        <v>22000</v>
      </c>
    </row>
    <row r="28" customFormat="false" ht="15" hidden="false" customHeight="false" outlineLevel="0" collapsed="false">
      <c r="A28" s="15" t="n">
        <v>45689</v>
      </c>
      <c r="B28" s="16" t="s">
        <v>65</v>
      </c>
      <c r="C28" s="16" t="s">
        <v>59</v>
      </c>
      <c r="D28" s="16" t="s">
        <v>60</v>
      </c>
      <c r="E28" s="16"/>
      <c r="F28" s="16"/>
      <c r="G28" s="16"/>
      <c r="H28" s="16"/>
      <c r="I28" s="17" t="n">
        <v>5500</v>
      </c>
      <c r="J28" s="17" t="n">
        <v>5800</v>
      </c>
    </row>
    <row r="29" customFormat="false" ht="15" hidden="false" customHeight="false" outlineLevel="0" collapsed="false">
      <c r="A29" s="15" t="n">
        <v>45689</v>
      </c>
      <c r="B29" s="16" t="s">
        <v>66</v>
      </c>
      <c r="C29" s="16" t="s">
        <v>59</v>
      </c>
      <c r="D29" s="16" t="s">
        <v>67</v>
      </c>
      <c r="E29" s="16"/>
      <c r="F29" s="16"/>
      <c r="G29" s="16"/>
      <c r="H29" s="16"/>
      <c r="I29" s="17" t="n">
        <v>12000</v>
      </c>
      <c r="J29" s="17" t="n">
        <v>15100</v>
      </c>
    </row>
    <row r="30" customFormat="false" ht="15" hidden="false" customHeight="false" outlineLevel="0" collapsed="false">
      <c r="A30" s="15" t="n">
        <v>45689</v>
      </c>
      <c r="B30" s="16" t="s">
        <v>68</v>
      </c>
      <c r="C30" s="16" t="s">
        <v>59</v>
      </c>
      <c r="D30" s="16" t="s">
        <v>62</v>
      </c>
      <c r="E30" s="16"/>
      <c r="F30" s="16"/>
      <c r="G30" s="16"/>
      <c r="H30" s="16"/>
      <c r="I30" s="17" t="n">
        <v>6500</v>
      </c>
      <c r="J30" s="17" t="n">
        <v>5800</v>
      </c>
    </row>
    <row r="31" customFormat="false" ht="15" hidden="false" customHeight="false" outlineLevel="0" collapsed="false">
      <c r="A31" s="15" t="n">
        <v>45689</v>
      </c>
      <c r="B31" s="16" t="s">
        <v>69</v>
      </c>
      <c r="C31" s="16" t="s">
        <v>59</v>
      </c>
      <c r="D31" s="16" t="s">
        <v>60</v>
      </c>
      <c r="E31" s="16"/>
      <c r="F31" s="16"/>
      <c r="G31" s="16"/>
      <c r="H31" s="16"/>
      <c r="I31" s="17" t="n">
        <v>8000</v>
      </c>
      <c r="J31" s="17" t="n">
        <v>10500</v>
      </c>
    </row>
    <row r="32" customFormat="false" ht="15" hidden="false" customHeight="false" outlineLevel="0" collapsed="false">
      <c r="A32" s="15" t="n">
        <v>45689</v>
      </c>
      <c r="B32" s="16" t="s">
        <v>70</v>
      </c>
      <c r="C32" s="16" t="s">
        <v>59</v>
      </c>
      <c r="D32" s="16" t="s">
        <v>51</v>
      </c>
      <c r="E32" s="16"/>
      <c r="F32" s="16"/>
      <c r="G32" s="16"/>
      <c r="H32" s="16"/>
      <c r="I32" s="17" t="n">
        <v>26000</v>
      </c>
      <c r="J32" s="17" t="n">
        <v>30700</v>
      </c>
    </row>
    <row r="33" customFormat="false" ht="15" hidden="false" customHeight="false" outlineLevel="0" collapsed="false">
      <c r="A33" s="15" t="n">
        <v>45689</v>
      </c>
      <c r="B33" s="16" t="s">
        <v>71</v>
      </c>
      <c r="C33" s="16" t="s">
        <v>59</v>
      </c>
      <c r="D33" s="16" t="s">
        <v>60</v>
      </c>
      <c r="E33" s="16"/>
      <c r="F33" s="16"/>
      <c r="G33" s="16"/>
      <c r="H33" s="16"/>
      <c r="I33" s="17" t="n">
        <v>30000</v>
      </c>
      <c r="J33" s="17" t="n">
        <v>30000</v>
      </c>
    </row>
    <row r="34" customFormat="false" ht="15" hidden="false" customHeight="false" outlineLevel="0" collapsed="false">
      <c r="A34" s="15" t="n">
        <v>45717</v>
      </c>
      <c r="B34" s="16" t="s">
        <v>49</v>
      </c>
      <c r="C34" s="16" t="s">
        <v>50</v>
      </c>
      <c r="D34" s="16" t="s">
        <v>51</v>
      </c>
      <c r="E34" s="16" t="n">
        <v>407</v>
      </c>
      <c r="F34" s="17" t="n">
        <v>1150</v>
      </c>
      <c r="G34" s="16" t="n">
        <v>434</v>
      </c>
      <c r="H34" s="17" t="n">
        <v>1121</v>
      </c>
      <c r="I34" s="18" t="n">
        <f aca="false">E34*F34</f>
        <v>468050</v>
      </c>
      <c r="J34" s="18" t="n">
        <f aca="false">G34*H34</f>
        <v>486514</v>
      </c>
    </row>
    <row r="35" customFormat="false" ht="15" hidden="false" customHeight="false" outlineLevel="0" collapsed="false">
      <c r="A35" s="15" t="n">
        <v>45717</v>
      </c>
      <c r="B35" s="16" t="s">
        <v>52</v>
      </c>
      <c r="C35" s="16" t="s">
        <v>50</v>
      </c>
      <c r="D35" s="16" t="s">
        <v>51</v>
      </c>
      <c r="E35" s="16" t="n">
        <v>252</v>
      </c>
      <c r="F35" s="17" t="n">
        <v>680</v>
      </c>
      <c r="G35" s="16" t="n">
        <v>222</v>
      </c>
      <c r="H35" s="17" t="n">
        <v>717</v>
      </c>
      <c r="I35" s="18" t="n">
        <f aca="false">E35*F35</f>
        <v>171360</v>
      </c>
      <c r="J35" s="18" t="n">
        <f aca="false">G35*H35</f>
        <v>159174</v>
      </c>
    </row>
    <row r="36" customFormat="false" ht="15" hidden="false" customHeight="false" outlineLevel="0" collapsed="false">
      <c r="A36" s="15" t="n">
        <v>45717</v>
      </c>
      <c r="B36" s="16" t="s">
        <v>53</v>
      </c>
      <c r="C36" s="16" t="s">
        <v>50</v>
      </c>
      <c r="D36" s="16" t="s">
        <v>51</v>
      </c>
      <c r="E36" s="16" t="n">
        <v>37</v>
      </c>
      <c r="F36" s="17" t="n">
        <v>5200</v>
      </c>
      <c r="G36" s="16" t="n">
        <v>39</v>
      </c>
      <c r="H36" s="17" t="n">
        <v>5326</v>
      </c>
      <c r="I36" s="18" t="n">
        <f aca="false">E36*F36</f>
        <v>192400</v>
      </c>
      <c r="J36" s="18" t="n">
        <f aca="false">G36*H36</f>
        <v>207714</v>
      </c>
    </row>
    <row r="37" customFormat="false" ht="15" hidden="false" customHeight="false" outlineLevel="0" collapsed="false">
      <c r="A37" s="15" t="n">
        <v>45717</v>
      </c>
      <c r="B37" s="16" t="s">
        <v>54</v>
      </c>
      <c r="C37" s="16" t="s">
        <v>55</v>
      </c>
      <c r="D37" s="16" t="s">
        <v>51</v>
      </c>
      <c r="E37" s="16"/>
      <c r="F37" s="16"/>
      <c r="G37" s="16"/>
      <c r="H37" s="16"/>
      <c r="I37" s="17" t="n">
        <v>249500</v>
      </c>
      <c r="J37" s="17" t="n">
        <v>277300</v>
      </c>
    </row>
    <row r="38" customFormat="false" ht="15" hidden="false" customHeight="false" outlineLevel="0" collapsed="false">
      <c r="A38" s="15" t="n">
        <v>45717</v>
      </c>
      <c r="B38" s="16" t="s">
        <v>56</v>
      </c>
      <c r="C38" s="16" t="s">
        <v>55</v>
      </c>
      <c r="D38" s="16" t="s">
        <v>51</v>
      </c>
      <c r="E38" s="16"/>
      <c r="F38" s="16"/>
      <c r="G38" s="16"/>
      <c r="H38" s="16"/>
      <c r="I38" s="17" t="n">
        <v>74900</v>
      </c>
      <c r="J38" s="17" t="n">
        <v>84600</v>
      </c>
    </row>
    <row r="39" customFormat="false" ht="15" hidden="false" customHeight="false" outlineLevel="0" collapsed="false">
      <c r="A39" s="15" t="n">
        <v>45717</v>
      </c>
      <c r="B39" s="16" t="s">
        <v>57</v>
      </c>
      <c r="C39" s="16" t="s">
        <v>55</v>
      </c>
      <c r="D39" s="16" t="s">
        <v>51</v>
      </c>
      <c r="E39" s="16"/>
      <c r="F39" s="16"/>
      <c r="G39" s="16"/>
      <c r="H39" s="16"/>
      <c r="I39" s="17" t="n">
        <v>58200</v>
      </c>
      <c r="J39" s="17" t="n">
        <v>73800</v>
      </c>
    </row>
    <row r="40" customFormat="false" ht="15" hidden="false" customHeight="false" outlineLevel="0" collapsed="false">
      <c r="A40" s="15" t="n">
        <v>45717</v>
      </c>
      <c r="B40" s="16" t="s">
        <v>58</v>
      </c>
      <c r="C40" s="16" t="s">
        <v>59</v>
      </c>
      <c r="D40" s="16" t="s">
        <v>60</v>
      </c>
      <c r="E40" s="16"/>
      <c r="F40" s="16"/>
      <c r="G40" s="16"/>
      <c r="H40" s="16"/>
      <c r="I40" s="17" t="n">
        <v>62000</v>
      </c>
      <c r="J40" s="17" t="n">
        <v>60300</v>
      </c>
    </row>
    <row r="41" customFormat="false" ht="15" hidden="false" customHeight="false" outlineLevel="0" collapsed="false">
      <c r="A41" s="15" t="n">
        <v>45717</v>
      </c>
      <c r="B41" s="16" t="s">
        <v>61</v>
      </c>
      <c r="C41" s="16" t="s">
        <v>59</v>
      </c>
      <c r="D41" s="16" t="s">
        <v>62</v>
      </c>
      <c r="E41" s="16"/>
      <c r="F41" s="16"/>
      <c r="G41" s="16"/>
      <c r="H41" s="16"/>
      <c r="I41" s="17" t="n">
        <v>38000</v>
      </c>
      <c r="J41" s="17" t="n">
        <v>37600</v>
      </c>
    </row>
    <row r="42" customFormat="false" ht="15" hidden="false" customHeight="false" outlineLevel="0" collapsed="false">
      <c r="A42" s="15" t="n">
        <v>45717</v>
      </c>
      <c r="B42" s="16" t="s">
        <v>63</v>
      </c>
      <c r="C42" s="16" t="s">
        <v>59</v>
      </c>
      <c r="D42" s="16" t="s">
        <v>62</v>
      </c>
      <c r="E42" s="16"/>
      <c r="F42" s="16"/>
      <c r="G42" s="16"/>
      <c r="H42" s="16"/>
      <c r="I42" s="17" t="n">
        <v>14000</v>
      </c>
      <c r="J42" s="17" t="n">
        <v>10300</v>
      </c>
    </row>
    <row r="43" customFormat="false" ht="15" hidden="false" customHeight="false" outlineLevel="0" collapsed="false">
      <c r="A43" s="15" t="n">
        <v>45717</v>
      </c>
      <c r="B43" s="16" t="s">
        <v>64</v>
      </c>
      <c r="C43" s="16" t="s">
        <v>59</v>
      </c>
      <c r="D43" s="16" t="s">
        <v>60</v>
      </c>
      <c r="E43" s="16"/>
      <c r="F43" s="16"/>
      <c r="G43" s="16"/>
      <c r="H43" s="16"/>
      <c r="I43" s="17" t="n">
        <v>22000</v>
      </c>
      <c r="J43" s="17" t="n">
        <v>22000</v>
      </c>
    </row>
    <row r="44" customFormat="false" ht="15" hidden="false" customHeight="false" outlineLevel="0" collapsed="false">
      <c r="A44" s="15" t="n">
        <v>45717</v>
      </c>
      <c r="B44" s="16" t="s">
        <v>65</v>
      </c>
      <c r="C44" s="16" t="s">
        <v>59</v>
      </c>
      <c r="D44" s="16" t="s">
        <v>60</v>
      </c>
      <c r="E44" s="16"/>
      <c r="F44" s="16"/>
      <c r="G44" s="16"/>
      <c r="H44" s="16"/>
      <c r="I44" s="17" t="n">
        <v>5500</v>
      </c>
      <c r="J44" s="17" t="n">
        <v>5800</v>
      </c>
    </row>
    <row r="45" customFormat="false" ht="15" hidden="false" customHeight="false" outlineLevel="0" collapsed="false">
      <c r="A45" s="15" t="n">
        <v>45717</v>
      </c>
      <c r="B45" s="16" t="s">
        <v>66</v>
      </c>
      <c r="C45" s="16" t="s">
        <v>59</v>
      </c>
      <c r="D45" s="16" t="s">
        <v>67</v>
      </c>
      <c r="E45" s="16"/>
      <c r="F45" s="16"/>
      <c r="G45" s="16"/>
      <c r="H45" s="16"/>
      <c r="I45" s="17" t="n">
        <v>12000</v>
      </c>
      <c r="J45" s="17" t="n">
        <v>14400</v>
      </c>
    </row>
    <row r="46" customFormat="false" ht="15" hidden="false" customHeight="false" outlineLevel="0" collapsed="false">
      <c r="A46" s="15" t="n">
        <v>45717</v>
      </c>
      <c r="B46" s="16" t="s">
        <v>68</v>
      </c>
      <c r="C46" s="16" t="s">
        <v>59</v>
      </c>
      <c r="D46" s="16" t="s">
        <v>62</v>
      </c>
      <c r="E46" s="16"/>
      <c r="F46" s="16"/>
      <c r="G46" s="16"/>
      <c r="H46" s="16"/>
      <c r="I46" s="17" t="n">
        <v>6500</v>
      </c>
      <c r="J46" s="17" t="n">
        <v>5100</v>
      </c>
    </row>
    <row r="47" customFormat="false" ht="15" hidden="false" customHeight="false" outlineLevel="0" collapsed="false">
      <c r="A47" s="15" t="n">
        <v>45717</v>
      </c>
      <c r="B47" s="16" t="s">
        <v>69</v>
      </c>
      <c r="C47" s="16" t="s">
        <v>59</v>
      </c>
      <c r="D47" s="16" t="s">
        <v>60</v>
      </c>
      <c r="E47" s="16"/>
      <c r="F47" s="16"/>
      <c r="G47" s="16"/>
      <c r="H47" s="16"/>
      <c r="I47" s="17" t="n">
        <v>8000</v>
      </c>
      <c r="J47" s="17" t="n">
        <v>11100</v>
      </c>
    </row>
    <row r="48" customFormat="false" ht="15" hidden="false" customHeight="false" outlineLevel="0" collapsed="false">
      <c r="A48" s="15" t="n">
        <v>45717</v>
      </c>
      <c r="B48" s="16" t="s">
        <v>70</v>
      </c>
      <c r="C48" s="16" t="s">
        <v>59</v>
      </c>
      <c r="D48" s="16" t="s">
        <v>51</v>
      </c>
      <c r="E48" s="16"/>
      <c r="F48" s="16"/>
      <c r="G48" s="16"/>
      <c r="H48" s="16"/>
      <c r="I48" s="17" t="n">
        <v>26000</v>
      </c>
      <c r="J48" s="17" t="n">
        <v>28200</v>
      </c>
    </row>
    <row r="49" customFormat="false" ht="15" hidden="false" customHeight="false" outlineLevel="0" collapsed="false">
      <c r="A49" s="15" t="n">
        <v>45717</v>
      </c>
      <c r="B49" s="16" t="s">
        <v>71</v>
      </c>
      <c r="C49" s="16" t="s">
        <v>59</v>
      </c>
      <c r="D49" s="16" t="s">
        <v>60</v>
      </c>
      <c r="E49" s="16"/>
      <c r="F49" s="16"/>
      <c r="G49" s="16"/>
      <c r="H49" s="16"/>
      <c r="I49" s="17" t="n">
        <v>30000</v>
      </c>
      <c r="J49" s="17" t="n">
        <v>30000</v>
      </c>
    </row>
    <row r="50" customFormat="false" ht="15" hidden="false" customHeight="false" outlineLevel="0" collapsed="false">
      <c r="A50" s="15" t="n">
        <v>45748</v>
      </c>
      <c r="B50" s="16" t="s">
        <v>49</v>
      </c>
      <c r="C50" s="16" t="s">
        <v>50</v>
      </c>
      <c r="D50" s="16" t="s">
        <v>51</v>
      </c>
      <c r="E50" s="16" t="n">
        <v>420</v>
      </c>
      <c r="F50" s="17" t="n">
        <v>1150</v>
      </c>
      <c r="G50" s="16" t="n">
        <v>433</v>
      </c>
      <c r="H50" s="17" t="n">
        <v>1126</v>
      </c>
      <c r="I50" s="18" t="n">
        <f aca="false">E50*F50</f>
        <v>483000</v>
      </c>
      <c r="J50" s="18" t="n">
        <f aca="false">G50*H50</f>
        <v>487558</v>
      </c>
    </row>
    <row r="51" customFormat="false" ht="15" hidden="false" customHeight="false" outlineLevel="0" collapsed="false">
      <c r="A51" s="15" t="n">
        <v>45748</v>
      </c>
      <c r="B51" s="16" t="s">
        <v>52</v>
      </c>
      <c r="C51" s="16" t="s">
        <v>50</v>
      </c>
      <c r="D51" s="16" t="s">
        <v>51</v>
      </c>
      <c r="E51" s="16" t="n">
        <v>260</v>
      </c>
      <c r="F51" s="17" t="n">
        <v>680</v>
      </c>
      <c r="G51" s="16" t="n">
        <v>239</v>
      </c>
      <c r="H51" s="17" t="n">
        <v>703</v>
      </c>
      <c r="I51" s="18" t="n">
        <f aca="false">E51*F51</f>
        <v>176800</v>
      </c>
      <c r="J51" s="18" t="n">
        <f aca="false">G51*H51</f>
        <v>168017</v>
      </c>
    </row>
    <row r="52" customFormat="false" ht="15" hidden="false" customHeight="false" outlineLevel="0" collapsed="false">
      <c r="A52" s="15" t="n">
        <v>45748</v>
      </c>
      <c r="B52" s="16" t="s">
        <v>53</v>
      </c>
      <c r="C52" s="16" t="s">
        <v>50</v>
      </c>
      <c r="D52" s="16" t="s">
        <v>51</v>
      </c>
      <c r="E52" s="16" t="n">
        <v>38</v>
      </c>
      <c r="F52" s="17" t="n">
        <v>5200</v>
      </c>
      <c r="G52" s="16" t="n">
        <v>39</v>
      </c>
      <c r="H52" s="17" t="n">
        <v>5284</v>
      </c>
      <c r="I52" s="18" t="n">
        <f aca="false">E52*F52</f>
        <v>197600</v>
      </c>
      <c r="J52" s="18" t="n">
        <f aca="false">G52*H52</f>
        <v>206076</v>
      </c>
    </row>
    <row r="53" customFormat="false" ht="15" hidden="false" customHeight="false" outlineLevel="0" collapsed="false">
      <c r="A53" s="15" t="n">
        <v>45748</v>
      </c>
      <c r="B53" s="16" t="s">
        <v>54</v>
      </c>
      <c r="C53" s="16" t="s">
        <v>55</v>
      </c>
      <c r="D53" s="16" t="s">
        <v>51</v>
      </c>
      <c r="E53" s="16"/>
      <c r="F53" s="16"/>
      <c r="G53" s="16"/>
      <c r="H53" s="16"/>
      <c r="I53" s="17" t="n">
        <v>257200</v>
      </c>
      <c r="J53" s="17" t="n">
        <v>261800</v>
      </c>
    </row>
    <row r="54" customFormat="false" ht="15" hidden="false" customHeight="false" outlineLevel="0" collapsed="false">
      <c r="A54" s="15" t="n">
        <v>45748</v>
      </c>
      <c r="B54" s="16" t="s">
        <v>56</v>
      </c>
      <c r="C54" s="16" t="s">
        <v>55</v>
      </c>
      <c r="D54" s="16" t="s">
        <v>51</v>
      </c>
      <c r="E54" s="16"/>
      <c r="F54" s="16"/>
      <c r="G54" s="16"/>
      <c r="H54" s="16"/>
      <c r="I54" s="17" t="n">
        <v>77200</v>
      </c>
      <c r="J54" s="17" t="n">
        <v>90200</v>
      </c>
    </row>
    <row r="55" customFormat="false" ht="15" hidden="false" customHeight="false" outlineLevel="0" collapsed="false">
      <c r="A55" s="15" t="n">
        <v>45748</v>
      </c>
      <c r="B55" s="16" t="s">
        <v>57</v>
      </c>
      <c r="C55" s="16" t="s">
        <v>55</v>
      </c>
      <c r="D55" s="16" t="s">
        <v>51</v>
      </c>
      <c r="E55" s="16"/>
      <c r="F55" s="16"/>
      <c r="G55" s="16"/>
      <c r="H55" s="16"/>
      <c r="I55" s="17" t="n">
        <v>60000</v>
      </c>
      <c r="J55" s="17" t="n">
        <v>72500</v>
      </c>
    </row>
    <row r="56" customFormat="false" ht="15" hidden="false" customHeight="false" outlineLevel="0" collapsed="false">
      <c r="A56" s="15" t="n">
        <v>45748</v>
      </c>
      <c r="B56" s="16" t="s">
        <v>58</v>
      </c>
      <c r="C56" s="16" t="s">
        <v>59</v>
      </c>
      <c r="D56" s="16" t="s">
        <v>60</v>
      </c>
      <c r="E56" s="16"/>
      <c r="F56" s="16"/>
      <c r="G56" s="16"/>
      <c r="H56" s="16"/>
      <c r="I56" s="17" t="n">
        <v>62000</v>
      </c>
      <c r="J56" s="17" t="n">
        <v>65500</v>
      </c>
    </row>
    <row r="57" customFormat="false" ht="15" hidden="false" customHeight="false" outlineLevel="0" collapsed="false">
      <c r="A57" s="15" t="n">
        <v>45748</v>
      </c>
      <c r="B57" s="16" t="s">
        <v>61</v>
      </c>
      <c r="C57" s="16" t="s">
        <v>59</v>
      </c>
      <c r="D57" s="16" t="s">
        <v>62</v>
      </c>
      <c r="E57" s="16"/>
      <c r="F57" s="16"/>
      <c r="G57" s="16"/>
      <c r="H57" s="16"/>
      <c r="I57" s="17" t="n">
        <v>38000</v>
      </c>
      <c r="J57" s="17" t="n">
        <v>41400</v>
      </c>
    </row>
    <row r="58" customFormat="false" ht="15" hidden="false" customHeight="false" outlineLevel="0" collapsed="false">
      <c r="A58" s="15" t="n">
        <v>45748</v>
      </c>
      <c r="B58" s="16" t="s">
        <v>63</v>
      </c>
      <c r="C58" s="16" t="s">
        <v>59</v>
      </c>
      <c r="D58" s="16" t="s">
        <v>62</v>
      </c>
      <c r="E58" s="16"/>
      <c r="F58" s="16"/>
      <c r="G58" s="16"/>
      <c r="H58" s="16"/>
      <c r="I58" s="17" t="n">
        <v>14000</v>
      </c>
      <c r="J58" s="17" t="n">
        <v>10200</v>
      </c>
    </row>
    <row r="59" customFormat="false" ht="15" hidden="false" customHeight="false" outlineLevel="0" collapsed="false">
      <c r="A59" s="15" t="n">
        <v>45748</v>
      </c>
      <c r="B59" s="16" t="s">
        <v>64</v>
      </c>
      <c r="C59" s="16" t="s">
        <v>59</v>
      </c>
      <c r="D59" s="16" t="s">
        <v>60</v>
      </c>
      <c r="E59" s="16"/>
      <c r="F59" s="16"/>
      <c r="G59" s="16"/>
      <c r="H59" s="16"/>
      <c r="I59" s="17" t="n">
        <v>22000</v>
      </c>
      <c r="J59" s="17" t="n">
        <v>22000</v>
      </c>
    </row>
    <row r="60" customFormat="false" ht="15" hidden="false" customHeight="false" outlineLevel="0" collapsed="false">
      <c r="A60" s="15" t="n">
        <v>45748</v>
      </c>
      <c r="B60" s="16" t="s">
        <v>65</v>
      </c>
      <c r="C60" s="16" t="s">
        <v>59</v>
      </c>
      <c r="D60" s="16" t="s">
        <v>60</v>
      </c>
      <c r="E60" s="16"/>
      <c r="F60" s="16"/>
      <c r="G60" s="16"/>
      <c r="H60" s="16"/>
      <c r="I60" s="17" t="n">
        <v>5500</v>
      </c>
      <c r="J60" s="17" t="n">
        <v>6200</v>
      </c>
    </row>
    <row r="61" customFormat="false" ht="15" hidden="false" customHeight="false" outlineLevel="0" collapsed="false">
      <c r="A61" s="15" t="n">
        <v>45748</v>
      </c>
      <c r="B61" s="16" t="s">
        <v>66</v>
      </c>
      <c r="C61" s="16" t="s">
        <v>59</v>
      </c>
      <c r="D61" s="16" t="s">
        <v>67</v>
      </c>
      <c r="E61" s="16"/>
      <c r="F61" s="16"/>
      <c r="G61" s="16"/>
      <c r="H61" s="16"/>
      <c r="I61" s="17" t="n">
        <v>12000</v>
      </c>
      <c r="J61" s="17" t="n">
        <v>13900</v>
      </c>
    </row>
    <row r="62" customFormat="false" ht="15" hidden="false" customHeight="false" outlineLevel="0" collapsed="false">
      <c r="A62" s="15" t="n">
        <v>45748</v>
      </c>
      <c r="B62" s="16" t="s">
        <v>68</v>
      </c>
      <c r="C62" s="16" t="s">
        <v>59</v>
      </c>
      <c r="D62" s="16" t="s">
        <v>62</v>
      </c>
      <c r="E62" s="16"/>
      <c r="F62" s="16"/>
      <c r="G62" s="16"/>
      <c r="H62" s="16"/>
      <c r="I62" s="17" t="n">
        <v>6500</v>
      </c>
      <c r="J62" s="17" t="n">
        <v>5600</v>
      </c>
    </row>
    <row r="63" customFormat="false" ht="15" hidden="false" customHeight="false" outlineLevel="0" collapsed="false">
      <c r="A63" s="15" t="n">
        <v>45748</v>
      </c>
      <c r="B63" s="16" t="s">
        <v>69</v>
      </c>
      <c r="C63" s="16" t="s">
        <v>59</v>
      </c>
      <c r="D63" s="16" t="s">
        <v>60</v>
      </c>
      <c r="E63" s="16"/>
      <c r="F63" s="16"/>
      <c r="G63" s="16"/>
      <c r="H63" s="16"/>
      <c r="I63" s="17" t="n">
        <v>8000</v>
      </c>
      <c r="J63" s="17" t="n">
        <v>10100</v>
      </c>
    </row>
    <row r="64" customFormat="false" ht="15" hidden="false" customHeight="false" outlineLevel="0" collapsed="false">
      <c r="A64" s="15" t="n">
        <v>45748</v>
      </c>
      <c r="B64" s="16" t="s">
        <v>70</v>
      </c>
      <c r="C64" s="16" t="s">
        <v>59</v>
      </c>
      <c r="D64" s="16" t="s">
        <v>51</v>
      </c>
      <c r="E64" s="16"/>
      <c r="F64" s="16"/>
      <c r="G64" s="16"/>
      <c r="H64" s="16"/>
      <c r="I64" s="17" t="n">
        <v>26000</v>
      </c>
      <c r="J64" s="17" t="n">
        <v>27000</v>
      </c>
    </row>
    <row r="65" customFormat="false" ht="15" hidden="false" customHeight="false" outlineLevel="0" collapsed="false">
      <c r="A65" s="15" t="n">
        <v>45748</v>
      </c>
      <c r="B65" s="16" t="s">
        <v>71</v>
      </c>
      <c r="C65" s="16" t="s">
        <v>59</v>
      </c>
      <c r="D65" s="16" t="s">
        <v>60</v>
      </c>
      <c r="E65" s="16"/>
      <c r="F65" s="16"/>
      <c r="G65" s="16"/>
      <c r="H65" s="16"/>
      <c r="I65" s="17" t="n">
        <v>30000</v>
      </c>
      <c r="J65" s="17" t="n">
        <v>30000</v>
      </c>
    </row>
    <row r="66" customFormat="false" ht="15" hidden="false" customHeight="false" outlineLevel="0" collapsed="false">
      <c r="A66" s="15" t="n">
        <v>45778</v>
      </c>
      <c r="B66" s="16" t="s">
        <v>49</v>
      </c>
      <c r="C66" s="16" t="s">
        <v>50</v>
      </c>
      <c r="D66" s="16" t="s">
        <v>51</v>
      </c>
      <c r="E66" s="16" t="n">
        <v>441</v>
      </c>
      <c r="F66" s="17" t="n">
        <v>1150</v>
      </c>
      <c r="G66" s="16" t="n">
        <v>447</v>
      </c>
      <c r="H66" s="17" t="n">
        <v>1131</v>
      </c>
      <c r="I66" s="18" t="n">
        <f aca="false">E66*F66</f>
        <v>507150</v>
      </c>
      <c r="J66" s="18" t="n">
        <f aca="false">G66*H66</f>
        <v>505557</v>
      </c>
    </row>
    <row r="67" customFormat="false" ht="15" hidden="false" customHeight="false" outlineLevel="0" collapsed="false">
      <c r="A67" s="15" t="n">
        <v>45778</v>
      </c>
      <c r="B67" s="16" t="s">
        <v>52</v>
      </c>
      <c r="C67" s="16" t="s">
        <v>50</v>
      </c>
      <c r="D67" s="16" t="s">
        <v>51</v>
      </c>
      <c r="E67" s="16" t="n">
        <v>273</v>
      </c>
      <c r="F67" s="17" t="n">
        <v>680</v>
      </c>
      <c r="G67" s="16" t="n">
        <v>240</v>
      </c>
      <c r="H67" s="17" t="n">
        <v>713</v>
      </c>
      <c r="I67" s="18" t="n">
        <f aca="false">E67*F67</f>
        <v>185640</v>
      </c>
      <c r="J67" s="18" t="n">
        <f aca="false">G67*H67</f>
        <v>171120</v>
      </c>
    </row>
    <row r="68" customFormat="false" ht="15" hidden="false" customHeight="false" outlineLevel="0" collapsed="false">
      <c r="A68" s="15" t="n">
        <v>45778</v>
      </c>
      <c r="B68" s="16" t="s">
        <v>53</v>
      </c>
      <c r="C68" s="16" t="s">
        <v>50</v>
      </c>
      <c r="D68" s="16" t="s">
        <v>51</v>
      </c>
      <c r="E68" s="16" t="n">
        <v>40</v>
      </c>
      <c r="F68" s="17" t="n">
        <v>5200</v>
      </c>
      <c r="G68" s="16" t="n">
        <v>44</v>
      </c>
      <c r="H68" s="17" t="n">
        <v>5322</v>
      </c>
      <c r="I68" s="18" t="n">
        <f aca="false">E68*F68</f>
        <v>208000</v>
      </c>
      <c r="J68" s="18" t="n">
        <f aca="false">G68*H68</f>
        <v>234168</v>
      </c>
    </row>
    <row r="69" customFormat="false" ht="15" hidden="false" customHeight="false" outlineLevel="0" collapsed="false">
      <c r="A69" s="15" t="n">
        <v>45778</v>
      </c>
      <c r="B69" s="16" t="s">
        <v>54</v>
      </c>
      <c r="C69" s="16" t="s">
        <v>55</v>
      </c>
      <c r="D69" s="16" t="s">
        <v>51</v>
      </c>
      <c r="E69" s="16"/>
      <c r="F69" s="16"/>
      <c r="G69" s="16"/>
      <c r="H69" s="16"/>
      <c r="I69" s="17" t="n">
        <v>270200</v>
      </c>
      <c r="J69" s="17" t="n">
        <v>283300</v>
      </c>
    </row>
    <row r="70" customFormat="false" ht="15" hidden="false" customHeight="false" outlineLevel="0" collapsed="false">
      <c r="A70" s="15" t="n">
        <v>45778</v>
      </c>
      <c r="B70" s="16" t="s">
        <v>56</v>
      </c>
      <c r="C70" s="16" t="s">
        <v>55</v>
      </c>
      <c r="D70" s="16" t="s">
        <v>51</v>
      </c>
      <c r="E70" s="16"/>
      <c r="F70" s="16"/>
      <c r="G70" s="16"/>
      <c r="H70" s="16"/>
      <c r="I70" s="17" t="n">
        <v>81100</v>
      </c>
      <c r="J70" s="17" t="n">
        <v>90700</v>
      </c>
    </row>
    <row r="71" customFormat="false" ht="15" hidden="false" customHeight="false" outlineLevel="0" collapsed="false">
      <c r="A71" s="15" t="n">
        <v>45778</v>
      </c>
      <c r="B71" s="16" t="s">
        <v>57</v>
      </c>
      <c r="C71" s="16" t="s">
        <v>55</v>
      </c>
      <c r="D71" s="16" t="s">
        <v>51</v>
      </c>
      <c r="E71" s="16"/>
      <c r="F71" s="16"/>
      <c r="G71" s="16"/>
      <c r="H71" s="16"/>
      <c r="I71" s="17" t="n">
        <v>63100</v>
      </c>
      <c r="J71" s="17" t="n">
        <v>79900</v>
      </c>
    </row>
    <row r="72" customFormat="false" ht="15" hidden="false" customHeight="false" outlineLevel="0" collapsed="false">
      <c r="A72" s="15" t="n">
        <v>45778</v>
      </c>
      <c r="B72" s="16" t="s">
        <v>58</v>
      </c>
      <c r="C72" s="16" t="s">
        <v>59</v>
      </c>
      <c r="D72" s="16" t="s">
        <v>60</v>
      </c>
      <c r="E72" s="16"/>
      <c r="F72" s="16"/>
      <c r="G72" s="16"/>
      <c r="H72" s="16"/>
      <c r="I72" s="17" t="n">
        <v>62000</v>
      </c>
      <c r="J72" s="17" t="n">
        <v>65700</v>
      </c>
    </row>
    <row r="73" customFormat="false" ht="15" hidden="false" customHeight="false" outlineLevel="0" collapsed="false">
      <c r="A73" s="15" t="n">
        <v>45778</v>
      </c>
      <c r="B73" s="16" t="s">
        <v>61</v>
      </c>
      <c r="C73" s="16" t="s">
        <v>59</v>
      </c>
      <c r="D73" s="16" t="s">
        <v>62</v>
      </c>
      <c r="E73" s="16"/>
      <c r="F73" s="16"/>
      <c r="G73" s="16"/>
      <c r="H73" s="16"/>
      <c r="I73" s="17" t="n">
        <v>38000</v>
      </c>
      <c r="J73" s="17" t="n">
        <v>37400</v>
      </c>
    </row>
    <row r="74" customFormat="false" ht="15" hidden="false" customHeight="false" outlineLevel="0" collapsed="false">
      <c r="A74" s="15" t="n">
        <v>45778</v>
      </c>
      <c r="B74" s="16" t="s">
        <v>63</v>
      </c>
      <c r="C74" s="16" t="s">
        <v>59</v>
      </c>
      <c r="D74" s="16" t="s">
        <v>62</v>
      </c>
      <c r="E74" s="16"/>
      <c r="F74" s="16"/>
      <c r="G74" s="16"/>
      <c r="H74" s="16"/>
      <c r="I74" s="17" t="n">
        <v>14000</v>
      </c>
      <c r="J74" s="17" t="n">
        <v>11300</v>
      </c>
    </row>
    <row r="75" customFormat="false" ht="15" hidden="false" customHeight="false" outlineLevel="0" collapsed="false">
      <c r="A75" s="15" t="n">
        <v>45778</v>
      </c>
      <c r="B75" s="16" t="s">
        <v>64</v>
      </c>
      <c r="C75" s="16" t="s">
        <v>59</v>
      </c>
      <c r="D75" s="16" t="s">
        <v>60</v>
      </c>
      <c r="E75" s="16"/>
      <c r="F75" s="16"/>
      <c r="G75" s="16"/>
      <c r="H75" s="16"/>
      <c r="I75" s="17" t="n">
        <v>22000</v>
      </c>
      <c r="J75" s="17" t="n">
        <v>22000</v>
      </c>
    </row>
    <row r="76" customFormat="false" ht="15" hidden="false" customHeight="false" outlineLevel="0" collapsed="false">
      <c r="A76" s="15" t="n">
        <v>45778</v>
      </c>
      <c r="B76" s="16" t="s">
        <v>65</v>
      </c>
      <c r="C76" s="16" t="s">
        <v>59</v>
      </c>
      <c r="D76" s="16" t="s">
        <v>60</v>
      </c>
      <c r="E76" s="16"/>
      <c r="F76" s="16"/>
      <c r="G76" s="16"/>
      <c r="H76" s="16"/>
      <c r="I76" s="17" t="n">
        <v>5500</v>
      </c>
      <c r="J76" s="17" t="n">
        <v>6200</v>
      </c>
    </row>
    <row r="77" customFormat="false" ht="15" hidden="false" customHeight="false" outlineLevel="0" collapsed="false">
      <c r="A77" s="15" t="n">
        <v>45778</v>
      </c>
      <c r="B77" s="16" t="s">
        <v>66</v>
      </c>
      <c r="C77" s="16" t="s">
        <v>59</v>
      </c>
      <c r="D77" s="16" t="s">
        <v>67</v>
      </c>
      <c r="E77" s="16"/>
      <c r="F77" s="16"/>
      <c r="G77" s="16"/>
      <c r="H77" s="16"/>
      <c r="I77" s="17" t="n">
        <v>12000</v>
      </c>
      <c r="J77" s="17" t="n">
        <v>14900</v>
      </c>
    </row>
    <row r="78" customFormat="false" ht="15" hidden="false" customHeight="false" outlineLevel="0" collapsed="false">
      <c r="A78" s="15" t="n">
        <v>45778</v>
      </c>
      <c r="B78" s="16" t="s">
        <v>68</v>
      </c>
      <c r="C78" s="16" t="s">
        <v>59</v>
      </c>
      <c r="D78" s="16" t="s">
        <v>62</v>
      </c>
      <c r="E78" s="16"/>
      <c r="F78" s="16"/>
      <c r="G78" s="16"/>
      <c r="H78" s="16"/>
      <c r="I78" s="17" t="n">
        <v>6500</v>
      </c>
      <c r="J78" s="17" t="n">
        <v>5200</v>
      </c>
    </row>
    <row r="79" customFormat="false" ht="15" hidden="false" customHeight="false" outlineLevel="0" collapsed="false">
      <c r="A79" s="15" t="n">
        <v>45778</v>
      </c>
      <c r="B79" s="16" t="s">
        <v>69</v>
      </c>
      <c r="C79" s="16" t="s">
        <v>59</v>
      </c>
      <c r="D79" s="16" t="s">
        <v>60</v>
      </c>
      <c r="E79" s="16"/>
      <c r="F79" s="16"/>
      <c r="G79" s="16"/>
      <c r="H79" s="16"/>
      <c r="I79" s="17" t="n">
        <v>8000</v>
      </c>
      <c r="J79" s="17" t="n">
        <v>11500</v>
      </c>
    </row>
    <row r="80" customFormat="false" ht="15" hidden="false" customHeight="false" outlineLevel="0" collapsed="false">
      <c r="A80" s="15" t="n">
        <v>45778</v>
      </c>
      <c r="B80" s="16" t="s">
        <v>70</v>
      </c>
      <c r="C80" s="16" t="s">
        <v>59</v>
      </c>
      <c r="D80" s="16" t="s">
        <v>51</v>
      </c>
      <c r="E80" s="16"/>
      <c r="F80" s="16"/>
      <c r="G80" s="16"/>
      <c r="H80" s="16"/>
      <c r="I80" s="17" t="n">
        <v>26000</v>
      </c>
      <c r="J80" s="17" t="n">
        <v>27200</v>
      </c>
    </row>
    <row r="81" customFormat="false" ht="15" hidden="false" customHeight="false" outlineLevel="0" collapsed="false">
      <c r="A81" s="15" t="n">
        <v>45778</v>
      </c>
      <c r="B81" s="16" t="s">
        <v>71</v>
      </c>
      <c r="C81" s="16" t="s">
        <v>59</v>
      </c>
      <c r="D81" s="16" t="s">
        <v>60</v>
      </c>
      <c r="E81" s="16"/>
      <c r="F81" s="16"/>
      <c r="G81" s="16"/>
      <c r="H81" s="16"/>
      <c r="I81" s="17" t="n">
        <v>30000</v>
      </c>
      <c r="J81" s="17" t="n">
        <v>30000</v>
      </c>
    </row>
    <row r="82" customFormat="false" ht="15" hidden="false" customHeight="false" outlineLevel="0" collapsed="false">
      <c r="A82" s="15" t="n">
        <v>45809</v>
      </c>
      <c r="B82" s="16" t="s">
        <v>49</v>
      </c>
      <c r="C82" s="16" t="s">
        <v>50</v>
      </c>
      <c r="D82" s="16" t="s">
        <v>51</v>
      </c>
      <c r="E82" s="16" t="n">
        <v>454</v>
      </c>
      <c r="F82" s="17" t="n">
        <v>1150</v>
      </c>
      <c r="G82" s="16" t="n">
        <v>471</v>
      </c>
      <c r="H82" s="17" t="n">
        <v>1119</v>
      </c>
      <c r="I82" s="18" t="n">
        <f aca="false">E82*F82</f>
        <v>522100</v>
      </c>
      <c r="J82" s="18" t="n">
        <f aca="false">G82*H82</f>
        <v>527049</v>
      </c>
    </row>
    <row r="83" customFormat="false" ht="15" hidden="false" customHeight="false" outlineLevel="0" collapsed="false">
      <c r="A83" s="15" t="n">
        <v>45809</v>
      </c>
      <c r="B83" s="16" t="s">
        <v>52</v>
      </c>
      <c r="C83" s="16" t="s">
        <v>50</v>
      </c>
      <c r="D83" s="16" t="s">
        <v>51</v>
      </c>
      <c r="E83" s="16" t="n">
        <v>281</v>
      </c>
      <c r="F83" s="17" t="n">
        <v>680</v>
      </c>
      <c r="G83" s="16" t="n">
        <v>274</v>
      </c>
      <c r="H83" s="17" t="n">
        <v>704</v>
      </c>
      <c r="I83" s="18" t="n">
        <f aca="false">E83*F83</f>
        <v>191080</v>
      </c>
      <c r="J83" s="18" t="n">
        <f aca="false">G83*H83</f>
        <v>192896</v>
      </c>
    </row>
    <row r="84" customFormat="false" ht="15" hidden="false" customHeight="false" outlineLevel="0" collapsed="false">
      <c r="A84" s="15" t="n">
        <v>45809</v>
      </c>
      <c r="B84" s="16" t="s">
        <v>53</v>
      </c>
      <c r="C84" s="16" t="s">
        <v>50</v>
      </c>
      <c r="D84" s="16" t="s">
        <v>51</v>
      </c>
      <c r="E84" s="16" t="n">
        <v>41</v>
      </c>
      <c r="F84" s="17" t="n">
        <v>5200</v>
      </c>
      <c r="G84" s="16" t="n">
        <v>45</v>
      </c>
      <c r="H84" s="17" t="n">
        <v>5259</v>
      </c>
      <c r="I84" s="18" t="n">
        <f aca="false">E84*F84</f>
        <v>213200</v>
      </c>
      <c r="J84" s="18" t="n">
        <f aca="false">G84*H84</f>
        <v>236655</v>
      </c>
    </row>
    <row r="85" customFormat="false" ht="15" hidden="false" customHeight="false" outlineLevel="0" collapsed="false">
      <c r="A85" s="15" t="n">
        <v>45809</v>
      </c>
      <c r="B85" s="16" t="s">
        <v>54</v>
      </c>
      <c r="C85" s="16" t="s">
        <v>55</v>
      </c>
      <c r="D85" s="16" t="s">
        <v>51</v>
      </c>
      <c r="E85" s="16"/>
      <c r="F85" s="16"/>
      <c r="G85" s="16"/>
      <c r="H85" s="16"/>
      <c r="I85" s="17" t="n">
        <v>277900</v>
      </c>
      <c r="J85" s="17" t="n">
        <v>296800</v>
      </c>
    </row>
    <row r="86" customFormat="false" ht="15" hidden="false" customHeight="false" outlineLevel="0" collapsed="false">
      <c r="A86" s="15" t="n">
        <v>45809</v>
      </c>
      <c r="B86" s="16" t="s">
        <v>56</v>
      </c>
      <c r="C86" s="16" t="s">
        <v>55</v>
      </c>
      <c r="D86" s="16" t="s">
        <v>51</v>
      </c>
      <c r="E86" s="16"/>
      <c r="F86" s="16"/>
      <c r="G86" s="16"/>
      <c r="H86" s="16"/>
      <c r="I86" s="17" t="n">
        <v>83400</v>
      </c>
      <c r="J86" s="17" t="n">
        <v>95000</v>
      </c>
    </row>
    <row r="87" customFormat="false" ht="15" hidden="false" customHeight="false" outlineLevel="0" collapsed="false">
      <c r="A87" s="15" t="n">
        <v>45809</v>
      </c>
      <c r="B87" s="16" t="s">
        <v>57</v>
      </c>
      <c r="C87" s="16" t="s">
        <v>55</v>
      </c>
      <c r="D87" s="16" t="s">
        <v>51</v>
      </c>
      <c r="E87" s="16"/>
      <c r="F87" s="16"/>
      <c r="G87" s="16"/>
      <c r="H87" s="16"/>
      <c r="I87" s="17" t="n">
        <v>64800</v>
      </c>
      <c r="J87" s="17" t="n">
        <v>81500</v>
      </c>
    </row>
    <row r="88" customFormat="false" ht="15" hidden="false" customHeight="false" outlineLevel="0" collapsed="false">
      <c r="A88" s="15" t="n">
        <v>45809</v>
      </c>
      <c r="B88" s="16" t="s">
        <v>58</v>
      </c>
      <c r="C88" s="16" t="s">
        <v>59</v>
      </c>
      <c r="D88" s="16" t="s">
        <v>60</v>
      </c>
      <c r="E88" s="16"/>
      <c r="F88" s="16"/>
      <c r="G88" s="16"/>
      <c r="H88" s="16"/>
      <c r="I88" s="17" t="n">
        <v>62000</v>
      </c>
      <c r="J88" s="17" t="n">
        <v>59500</v>
      </c>
    </row>
    <row r="89" customFormat="false" ht="15" hidden="false" customHeight="false" outlineLevel="0" collapsed="false">
      <c r="A89" s="15" t="n">
        <v>45809</v>
      </c>
      <c r="B89" s="16" t="s">
        <v>61</v>
      </c>
      <c r="C89" s="16" t="s">
        <v>59</v>
      </c>
      <c r="D89" s="16" t="s">
        <v>62</v>
      </c>
      <c r="E89" s="16"/>
      <c r="F89" s="16"/>
      <c r="G89" s="16"/>
      <c r="H89" s="16"/>
      <c r="I89" s="17" t="n">
        <v>38000</v>
      </c>
      <c r="J89" s="17" t="n">
        <v>37600</v>
      </c>
    </row>
    <row r="90" customFormat="false" ht="15" hidden="false" customHeight="false" outlineLevel="0" collapsed="false">
      <c r="A90" s="15" t="n">
        <v>45809</v>
      </c>
      <c r="B90" s="16" t="s">
        <v>63</v>
      </c>
      <c r="C90" s="16" t="s">
        <v>59</v>
      </c>
      <c r="D90" s="16" t="s">
        <v>62</v>
      </c>
      <c r="E90" s="16"/>
      <c r="F90" s="16"/>
      <c r="G90" s="16"/>
      <c r="H90" s="16"/>
      <c r="I90" s="17" t="n">
        <v>14000</v>
      </c>
      <c r="J90" s="17" t="n">
        <v>11200</v>
      </c>
    </row>
    <row r="91" customFormat="false" ht="15" hidden="false" customHeight="false" outlineLevel="0" collapsed="false">
      <c r="A91" s="15" t="n">
        <v>45809</v>
      </c>
      <c r="B91" s="16" t="s">
        <v>64</v>
      </c>
      <c r="C91" s="16" t="s">
        <v>59</v>
      </c>
      <c r="D91" s="16" t="s">
        <v>60</v>
      </c>
      <c r="E91" s="16"/>
      <c r="F91" s="16"/>
      <c r="G91" s="16"/>
      <c r="H91" s="16"/>
      <c r="I91" s="17" t="n">
        <v>22000</v>
      </c>
      <c r="J91" s="17" t="n">
        <v>22000</v>
      </c>
    </row>
    <row r="92" customFormat="false" ht="15" hidden="false" customHeight="false" outlineLevel="0" collapsed="false">
      <c r="A92" s="15" t="n">
        <v>45809</v>
      </c>
      <c r="B92" s="16" t="s">
        <v>65</v>
      </c>
      <c r="C92" s="16" t="s">
        <v>59</v>
      </c>
      <c r="D92" s="16" t="s">
        <v>60</v>
      </c>
      <c r="E92" s="16"/>
      <c r="F92" s="16"/>
      <c r="G92" s="16"/>
      <c r="H92" s="16"/>
      <c r="I92" s="17" t="n">
        <v>5500</v>
      </c>
      <c r="J92" s="17" t="n">
        <v>6400</v>
      </c>
    </row>
    <row r="93" customFormat="false" ht="15" hidden="false" customHeight="false" outlineLevel="0" collapsed="false">
      <c r="A93" s="15" t="n">
        <v>45809</v>
      </c>
      <c r="B93" s="16" t="s">
        <v>66</v>
      </c>
      <c r="C93" s="16" t="s">
        <v>59</v>
      </c>
      <c r="D93" s="16" t="s">
        <v>67</v>
      </c>
      <c r="E93" s="16"/>
      <c r="F93" s="16"/>
      <c r="G93" s="16"/>
      <c r="H93" s="16"/>
      <c r="I93" s="17" t="n">
        <v>12000</v>
      </c>
      <c r="J93" s="17" t="n">
        <v>13500</v>
      </c>
    </row>
    <row r="94" customFormat="false" ht="15" hidden="false" customHeight="false" outlineLevel="0" collapsed="false">
      <c r="A94" s="15" t="n">
        <v>45809</v>
      </c>
      <c r="B94" s="16" t="s">
        <v>68</v>
      </c>
      <c r="C94" s="16" t="s">
        <v>59</v>
      </c>
      <c r="D94" s="16" t="s">
        <v>62</v>
      </c>
      <c r="E94" s="16"/>
      <c r="F94" s="16"/>
      <c r="G94" s="16"/>
      <c r="H94" s="16"/>
      <c r="I94" s="17" t="n">
        <v>6500</v>
      </c>
      <c r="J94" s="17" t="n">
        <v>5200</v>
      </c>
    </row>
    <row r="95" customFormat="false" ht="15" hidden="false" customHeight="false" outlineLevel="0" collapsed="false">
      <c r="A95" s="15" t="n">
        <v>45809</v>
      </c>
      <c r="B95" s="16" t="s">
        <v>69</v>
      </c>
      <c r="C95" s="16" t="s">
        <v>59</v>
      </c>
      <c r="D95" s="16" t="s">
        <v>60</v>
      </c>
      <c r="E95" s="16"/>
      <c r="F95" s="16"/>
      <c r="G95" s="16"/>
      <c r="H95" s="16"/>
      <c r="I95" s="17" t="n">
        <v>8000</v>
      </c>
      <c r="J95" s="17" t="n">
        <v>11500</v>
      </c>
    </row>
    <row r="96" customFormat="false" ht="15" hidden="false" customHeight="false" outlineLevel="0" collapsed="false">
      <c r="A96" s="15" t="n">
        <v>45809</v>
      </c>
      <c r="B96" s="16" t="s">
        <v>70</v>
      </c>
      <c r="C96" s="16" t="s">
        <v>59</v>
      </c>
      <c r="D96" s="16" t="s">
        <v>51</v>
      </c>
      <c r="E96" s="16"/>
      <c r="F96" s="16"/>
      <c r="G96" s="16"/>
      <c r="H96" s="16"/>
      <c r="I96" s="17" t="n">
        <v>26000</v>
      </c>
      <c r="J96" s="17" t="n">
        <v>29000</v>
      </c>
    </row>
    <row r="97" customFormat="false" ht="15" hidden="false" customHeight="false" outlineLevel="0" collapsed="false">
      <c r="A97" s="15" t="n">
        <v>45809</v>
      </c>
      <c r="B97" s="16" t="s">
        <v>71</v>
      </c>
      <c r="C97" s="16" t="s">
        <v>59</v>
      </c>
      <c r="D97" s="16" t="s">
        <v>60</v>
      </c>
      <c r="E97" s="16"/>
      <c r="F97" s="16"/>
      <c r="G97" s="16"/>
      <c r="H97" s="16"/>
      <c r="I97" s="17" t="n">
        <v>30000</v>
      </c>
      <c r="J97" s="17" t="n">
        <v>30000</v>
      </c>
    </row>
    <row r="98" customFormat="false" ht="15" hidden="false" customHeight="false" outlineLevel="0" collapsed="false">
      <c r="A98" s="15" t="n">
        <v>45839</v>
      </c>
      <c r="B98" s="16" t="s">
        <v>49</v>
      </c>
      <c r="C98" s="16" t="s">
        <v>50</v>
      </c>
      <c r="D98" s="16" t="s">
        <v>51</v>
      </c>
      <c r="E98" s="16" t="n">
        <v>399</v>
      </c>
      <c r="F98" s="17" t="n">
        <v>1150</v>
      </c>
      <c r="G98" s="16" t="n">
        <v>417</v>
      </c>
      <c r="H98" s="17" t="n">
        <v>1107</v>
      </c>
      <c r="I98" s="18" t="n">
        <f aca="false">E98*F98</f>
        <v>458850</v>
      </c>
      <c r="J98" s="18" t="n">
        <f aca="false">G98*H98</f>
        <v>461619</v>
      </c>
    </row>
    <row r="99" customFormat="false" ht="15" hidden="false" customHeight="false" outlineLevel="0" collapsed="false">
      <c r="A99" s="15" t="n">
        <v>45839</v>
      </c>
      <c r="B99" s="16" t="s">
        <v>52</v>
      </c>
      <c r="C99" s="16" t="s">
        <v>50</v>
      </c>
      <c r="D99" s="16" t="s">
        <v>51</v>
      </c>
      <c r="E99" s="16" t="n">
        <v>247</v>
      </c>
      <c r="F99" s="17" t="n">
        <v>680</v>
      </c>
      <c r="G99" s="16" t="n">
        <v>230</v>
      </c>
      <c r="H99" s="17" t="n">
        <v>714</v>
      </c>
      <c r="I99" s="18" t="n">
        <f aca="false">E99*F99</f>
        <v>167960</v>
      </c>
      <c r="J99" s="18" t="n">
        <f aca="false">G99*H99</f>
        <v>164220</v>
      </c>
    </row>
    <row r="100" customFormat="false" ht="15" hidden="false" customHeight="false" outlineLevel="0" collapsed="false">
      <c r="A100" s="15" t="n">
        <v>45839</v>
      </c>
      <c r="B100" s="16" t="s">
        <v>53</v>
      </c>
      <c r="C100" s="16" t="s">
        <v>50</v>
      </c>
      <c r="D100" s="16" t="s">
        <v>51</v>
      </c>
      <c r="E100" s="16" t="n">
        <v>36</v>
      </c>
      <c r="F100" s="17" t="n">
        <v>5200</v>
      </c>
      <c r="G100" s="16" t="n">
        <v>37</v>
      </c>
      <c r="H100" s="17" t="n">
        <v>5240</v>
      </c>
      <c r="I100" s="18" t="n">
        <f aca="false">E100*F100</f>
        <v>187200</v>
      </c>
      <c r="J100" s="18" t="n">
        <f aca="false">G100*H100</f>
        <v>193880</v>
      </c>
    </row>
    <row r="101" customFormat="false" ht="15" hidden="false" customHeight="false" outlineLevel="0" collapsed="false">
      <c r="A101" s="15" t="n">
        <v>45839</v>
      </c>
      <c r="B101" s="16" t="s">
        <v>54</v>
      </c>
      <c r="C101" s="16" t="s">
        <v>55</v>
      </c>
      <c r="D101" s="16" t="s">
        <v>51</v>
      </c>
      <c r="E101" s="16"/>
      <c r="F101" s="16"/>
      <c r="G101" s="16"/>
      <c r="H101" s="16"/>
      <c r="I101" s="17" t="n">
        <v>244200</v>
      </c>
      <c r="J101" s="17" t="n">
        <v>249000</v>
      </c>
    </row>
    <row r="102" customFormat="false" ht="15" hidden="false" customHeight="false" outlineLevel="0" collapsed="false">
      <c r="A102" s="15" t="n">
        <v>45839</v>
      </c>
      <c r="B102" s="16" t="s">
        <v>56</v>
      </c>
      <c r="C102" s="16" t="s">
        <v>55</v>
      </c>
      <c r="D102" s="16" t="s">
        <v>51</v>
      </c>
      <c r="E102" s="16"/>
      <c r="F102" s="16"/>
      <c r="G102" s="16"/>
      <c r="H102" s="16"/>
      <c r="I102" s="17" t="n">
        <v>73300</v>
      </c>
      <c r="J102" s="17" t="n">
        <v>85400</v>
      </c>
    </row>
    <row r="103" customFormat="false" ht="15" hidden="false" customHeight="false" outlineLevel="0" collapsed="false">
      <c r="A103" s="15" t="n">
        <v>45839</v>
      </c>
      <c r="B103" s="16" t="s">
        <v>57</v>
      </c>
      <c r="C103" s="16" t="s">
        <v>55</v>
      </c>
      <c r="D103" s="16" t="s">
        <v>51</v>
      </c>
      <c r="E103" s="16"/>
      <c r="F103" s="16"/>
      <c r="G103" s="16"/>
      <c r="H103" s="16"/>
      <c r="I103" s="17" t="n">
        <v>57000</v>
      </c>
      <c r="J103" s="17" t="n">
        <v>69000</v>
      </c>
    </row>
    <row r="104" customFormat="false" ht="15" hidden="false" customHeight="false" outlineLevel="0" collapsed="false">
      <c r="A104" s="15" t="n">
        <v>45839</v>
      </c>
      <c r="B104" s="16" t="s">
        <v>58</v>
      </c>
      <c r="C104" s="16" t="s">
        <v>59</v>
      </c>
      <c r="D104" s="16" t="s">
        <v>60</v>
      </c>
      <c r="E104" s="16"/>
      <c r="F104" s="16"/>
      <c r="G104" s="16"/>
      <c r="H104" s="16"/>
      <c r="I104" s="17" t="n">
        <v>62000</v>
      </c>
      <c r="J104" s="17" t="n">
        <v>63200</v>
      </c>
    </row>
    <row r="105" customFormat="false" ht="15" hidden="false" customHeight="false" outlineLevel="0" collapsed="false">
      <c r="A105" s="15" t="n">
        <v>45839</v>
      </c>
      <c r="B105" s="16" t="s">
        <v>61</v>
      </c>
      <c r="C105" s="16" t="s">
        <v>59</v>
      </c>
      <c r="D105" s="16" t="s">
        <v>62</v>
      </c>
      <c r="E105" s="16"/>
      <c r="F105" s="16"/>
      <c r="G105" s="16"/>
      <c r="H105" s="16"/>
      <c r="I105" s="17" t="n">
        <v>38000</v>
      </c>
      <c r="J105" s="17" t="n">
        <v>41400</v>
      </c>
    </row>
    <row r="106" customFormat="false" ht="15" hidden="false" customHeight="false" outlineLevel="0" collapsed="false">
      <c r="A106" s="15" t="n">
        <v>45839</v>
      </c>
      <c r="B106" s="16" t="s">
        <v>63</v>
      </c>
      <c r="C106" s="16" t="s">
        <v>59</v>
      </c>
      <c r="D106" s="16" t="s">
        <v>62</v>
      </c>
      <c r="E106" s="16"/>
      <c r="F106" s="16"/>
      <c r="G106" s="16"/>
      <c r="H106" s="16"/>
      <c r="I106" s="17" t="n">
        <v>14000</v>
      </c>
      <c r="J106" s="17" t="n">
        <v>10400</v>
      </c>
    </row>
    <row r="107" customFormat="false" ht="15" hidden="false" customHeight="false" outlineLevel="0" collapsed="false">
      <c r="A107" s="15" t="n">
        <v>45839</v>
      </c>
      <c r="B107" s="16" t="s">
        <v>64</v>
      </c>
      <c r="C107" s="16" t="s">
        <v>59</v>
      </c>
      <c r="D107" s="16" t="s">
        <v>60</v>
      </c>
      <c r="E107" s="16"/>
      <c r="F107" s="16"/>
      <c r="G107" s="16"/>
      <c r="H107" s="16"/>
      <c r="I107" s="17" t="n">
        <v>22000</v>
      </c>
      <c r="J107" s="17" t="n">
        <v>22000</v>
      </c>
    </row>
    <row r="108" customFormat="false" ht="15" hidden="false" customHeight="false" outlineLevel="0" collapsed="false">
      <c r="A108" s="15" t="n">
        <v>45839</v>
      </c>
      <c r="B108" s="16" t="s">
        <v>65</v>
      </c>
      <c r="C108" s="16" t="s">
        <v>59</v>
      </c>
      <c r="D108" s="16" t="s">
        <v>60</v>
      </c>
      <c r="E108" s="16"/>
      <c r="F108" s="16"/>
      <c r="G108" s="16"/>
      <c r="H108" s="16"/>
      <c r="I108" s="17" t="n">
        <v>5500</v>
      </c>
      <c r="J108" s="17" t="n">
        <v>6200</v>
      </c>
    </row>
    <row r="109" customFormat="false" ht="15" hidden="false" customHeight="false" outlineLevel="0" collapsed="false">
      <c r="A109" s="15" t="n">
        <v>45839</v>
      </c>
      <c r="B109" s="16" t="s">
        <v>66</v>
      </c>
      <c r="C109" s="16" t="s">
        <v>59</v>
      </c>
      <c r="D109" s="16" t="s">
        <v>67</v>
      </c>
      <c r="E109" s="16"/>
      <c r="F109" s="16"/>
      <c r="G109" s="16"/>
      <c r="H109" s="16"/>
      <c r="I109" s="17" t="n">
        <v>12000</v>
      </c>
      <c r="J109" s="17" t="n">
        <v>15100</v>
      </c>
    </row>
    <row r="110" customFormat="false" ht="15" hidden="false" customHeight="false" outlineLevel="0" collapsed="false">
      <c r="A110" s="15" t="n">
        <v>45839</v>
      </c>
      <c r="B110" s="16" t="s">
        <v>68</v>
      </c>
      <c r="C110" s="16" t="s">
        <v>59</v>
      </c>
      <c r="D110" s="16" t="s">
        <v>62</v>
      </c>
      <c r="E110" s="16"/>
      <c r="F110" s="16"/>
      <c r="G110" s="16"/>
      <c r="H110" s="16"/>
      <c r="I110" s="17" t="n">
        <v>6500</v>
      </c>
      <c r="J110" s="17" t="n">
        <v>5600</v>
      </c>
    </row>
    <row r="111" customFormat="false" ht="15" hidden="false" customHeight="false" outlineLevel="0" collapsed="false">
      <c r="A111" s="15" t="n">
        <v>45839</v>
      </c>
      <c r="B111" s="16" t="s">
        <v>69</v>
      </c>
      <c r="C111" s="16" t="s">
        <v>59</v>
      </c>
      <c r="D111" s="16" t="s">
        <v>60</v>
      </c>
      <c r="E111" s="16"/>
      <c r="F111" s="16"/>
      <c r="G111" s="16"/>
      <c r="H111" s="16"/>
      <c r="I111" s="17" t="n">
        <v>8000</v>
      </c>
      <c r="J111" s="17" t="n">
        <v>11200</v>
      </c>
    </row>
    <row r="112" customFormat="false" ht="15" hidden="false" customHeight="false" outlineLevel="0" collapsed="false">
      <c r="A112" s="15" t="n">
        <v>45839</v>
      </c>
      <c r="B112" s="16" t="s">
        <v>70</v>
      </c>
      <c r="C112" s="16" t="s">
        <v>59</v>
      </c>
      <c r="D112" s="16" t="s">
        <v>51</v>
      </c>
      <c r="E112" s="16"/>
      <c r="F112" s="16"/>
      <c r="G112" s="16"/>
      <c r="H112" s="16"/>
      <c r="I112" s="17" t="n">
        <v>26000</v>
      </c>
      <c r="J112" s="17" t="n">
        <v>27300</v>
      </c>
    </row>
    <row r="113" customFormat="false" ht="15" hidden="false" customHeight="false" outlineLevel="0" collapsed="false">
      <c r="A113" s="15" t="n">
        <v>45839</v>
      </c>
      <c r="B113" s="16" t="s">
        <v>71</v>
      </c>
      <c r="C113" s="16" t="s">
        <v>59</v>
      </c>
      <c r="D113" s="16" t="s">
        <v>60</v>
      </c>
      <c r="E113" s="16"/>
      <c r="F113" s="16"/>
      <c r="G113" s="16"/>
      <c r="H113" s="16"/>
      <c r="I113" s="17" t="n">
        <v>30000</v>
      </c>
      <c r="J113" s="17" t="n">
        <v>30000</v>
      </c>
    </row>
    <row r="114" customFormat="false" ht="15" hidden="false" customHeight="false" outlineLevel="0" collapsed="false">
      <c r="A114" s="15" t="n">
        <v>45870</v>
      </c>
      <c r="B114" s="16" t="s">
        <v>49</v>
      </c>
      <c r="C114" s="16" t="s">
        <v>50</v>
      </c>
      <c r="D114" s="16" t="s">
        <v>51</v>
      </c>
      <c r="E114" s="16" t="n">
        <v>386</v>
      </c>
      <c r="F114" s="17" t="n">
        <v>1150</v>
      </c>
      <c r="G114" s="16" t="n">
        <v>405</v>
      </c>
      <c r="H114" s="17" t="n">
        <v>1104</v>
      </c>
      <c r="I114" s="18" t="n">
        <f aca="false">E114*F114</f>
        <v>443900</v>
      </c>
      <c r="J114" s="18" t="n">
        <f aca="false">G114*H114</f>
        <v>447120</v>
      </c>
    </row>
    <row r="115" customFormat="false" ht="15" hidden="false" customHeight="false" outlineLevel="0" collapsed="false">
      <c r="A115" s="15" t="n">
        <v>45870</v>
      </c>
      <c r="B115" s="16" t="s">
        <v>52</v>
      </c>
      <c r="C115" s="16" t="s">
        <v>50</v>
      </c>
      <c r="D115" s="16" t="s">
        <v>51</v>
      </c>
      <c r="E115" s="16" t="n">
        <v>239</v>
      </c>
      <c r="F115" s="17" t="n">
        <v>680</v>
      </c>
      <c r="G115" s="16" t="n">
        <v>230</v>
      </c>
      <c r="H115" s="17" t="n">
        <v>703</v>
      </c>
      <c r="I115" s="18" t="n">
        <f aca="false">E115*F115</f>
        <v>162520</v>
      </c>
      <c r="J115" s="18" t="n">
        <f aca="false">G115*H115</f>
        <v>161690</v>
      </c>
    </row>
    <row r="116" customFormat="false" ht="15" hidden="false" customHeight="false" outlineLevel="0" collapsed="false">
      <c r="A116" s="15" t="n">
        <v>45870</v>
      </c>
      <c r="B116" s="16" t="s">
        <v>53</v>
      </c>
      <c r="C116" s="16" t="s">
        <v>50</v>
      </c>
      <c r="D116" s="16" t="s">
        <v>51</v>
      </c>
      <c r="E116" s="16" t="n">
        <v>35</v>
      </c>
      <c r="F116" s="17" t="n">
        <v>5200</v>
      </c>
      <c r="G116" s="16" t="n">
        <v>36</v>
      </c>
      <c r="H116" s="17" t="n">
        <v>5331</v>
      </c>
      <c r="I116" s="18" t="n">
        <f aca="false">E116*F116</f>
        <v>182000</v>
      </c>
      <c r="J116" s="18" t="n">
        <f aca="false">G116*H116</f>
        <v>191916</v>
      </c>
    </row>
    <row r="117" customFormat="false" ht="15" hidden="false" customHeight="false" outlineLevel="0" collapsed="false">
      <c r="A117" s="15" t="n">
        <v>45870</v>
      </c>
      <c r="B117" s="16" t="s">
        <v>54</v>
      </c>
      <c r="C117" s="16" t="s">
        <v>55</v>
      </c>
      <c r="D117" s="16" t="s">
        <v>51</v>
      </c>
      <c r="E117" s="16"/>
      <c r="F117" s="16"/>
      <c r="G117" s="16"/>
      <c r="H117" s="16"/>
      <c r="I117" s="17" t="n">
        <v>236500</v>
      </c>
      <c r="J117" s="17" t="n">
        <v>259300</v>
      </c>
    </row>
    <row r="118" customFormat="false" ht="15" hidden="false" customHeight="false" outlineLevel="0" collapsed="false">
      <c r="A118" s="15" t="n">
        <v>45870</v>
      </c>
      <c r="B118" s="16" t="s">
        <v>56</v>
      </c>
      <c r="C118" s="16" t="s">
        <v>55</v>
      </c>
      <c r="D118" s="16" t="s">
        <v>51</v>
      </c>
      <c r="E118" s="16"/>
      <c r="F118" s="16"/>
      <c r="G118" s="16"/>
      <c r="H118" s="16"/>
      <c r="I118" s="17" t="n">
        <v>71000</v>
      </c>
      <c r="J118" s="17" t="n">
        <v>83800</v>
      </c>
    </row>
    <row r="119" customFormat="false" ht="15" hidden="false" customHeight="false" outlineLevel="0" collapsed="false">
      <c r="A119" s="15" t="n">
        <v>45870</v>
      </c>
      <c r="B119" s="16" t="s">
        <v>57</v>
      </c>
      <c r="C119" s="16" t="s">
        <v>55</v>
      </c>
      <c r="D119" s="16" t="s">
        <v>51</v>
      </c>
      <c r="E119" s="16"/>
      <c r="F119" s="16"/>
      <c r="G119" s="16"/>
      <c r="H119" s="16"/>
      <c r="I119" s="17" t="n">
        <v>55200</v>
      </c>
      <c r="J119" s="17" t="n">
        <v>69800</v>
      </c>
    </row>
    <row r="120" customFormat="false" ht="15" hidden="false" customHeight="false" outlineLevel="0" collapsed="false">
      <c r="A120" s="15" t="n">
        <v>45870</v>
      </c>
      <c r="B120" s="16" t="s">
        <v>58</v>
      </c>
      <c r="C120" s="16" t="s">
        <v>59</v>
      </c>
      <c r="D120" s="16" t="s">
        <v>60</v>
      </c>
      <c r="E120" s="16"/>
      <c r="F120" s="16"/>
      <c r="G120" s="16"/>
      <c r="H120" s="16"/>
      <c r="I120" s="17" t="n">
        <v>62000</v>
      </c>
      <c r="J120" s="17" t="n">
        <v>63100</v>
      </c>
    </row>
    <row r="121" customFormat="false" ht="15" hidden="false" customHeight="false" outlineLevel="0" collapsed="false">
      <c r="A121" s="15" t="n">
        <v>45870</v>
      </c>
      <c r="B121" s="16" t="s">
        <v>61</v>
      </c>
      <c r="C121" s="16" t="s">
        <v>59</v>
      </c>
      <c r="D121" s="16" t="s">
        <v>62</v>
      </c>
      <c r="E121" s="16"/>
      <c r="F121" s="16"/>
      <c r="G121" s="16"/>
      <c r="H121" s="16"/>
      <c r="I121" s="17" t="n">
        <v>38000</v>
      </c>
      <c r="J121" s="17" t="n">
        <v>40800</v>
      </c>
    </row>
    <row r="122" customFormat="false" ht="15" hidden="false" customHeight="false" outlineLevel="0" collapsed="false">
      <c r="A122" s="15" t="n">
        <v>45870</v>
      </c>
      <c r="B122" s="16" t="s">
        <v>63</v>
      </c>
      <c r="C122" s="16" t="s">
        <v>59</v>
      </c>
      <c r="D122" s="16" t="s">
        <v>62</v>
      </c>
      <c r="E122" s="16"/>
      <c r="F122" s="16"/>
      <c r="G122" s="16"/>
      <c r="H122" s="16"/>
      <c r="I122" s="17" t="n">
        <v>14000</v>
      </c>
      <c r="J122" s="17" t="n">
        <v>10900</v>
      </c>
    </row>
    <row r="123" customFormat="false" ht="15" hidden="false" customHeight="false" outlineLevel="0" collapsed="false">
      <c r="A123" s="15" t="n">
        <v>45870</v>
      </c>
      <c r="B123" s="16" t="s">
        <v>64</v>
      </c>
      <c r="C123" s="16" t="s">
        <v>59</v>
      </c>
      <c r="D123" s="16" t="s">
        <v>60</v>
      </c>
      <c r="E123" s="16"/>
      <c r="F123" s="16"/>
      <c r="G123" s="16"/>
      <c r="H123" s="16"/>
      <c r="I123" s="17" t="n">
        <v>22000</v>
      </c>
      <c r="J123" s="17" t="n">
        <v>22000</v>
      </c>
    </row>
    <row r="124" customFormat="false" ht="15" hidden="false" customHeight="false" outlineLevel="0" collapsed="false">
      <c r="A124" s="15" t="n">
        <v>45870</v>
      </c>
      <c r="B124" s="16" t="s">
        <v>65</v>
      </c>
      <c r="C124" s="16" t="s">
        <v>59</v>
      </c>
      <c r="D124" s="16" t="s">
        <v>60</v>
      </c>
      <c r="E124" s="16"/>
      <c r="F124" s="16"/>
      <c r="G124" s="16"/>
      <c r="H124" s="16"/>
      <c r="I124" s="17" t="n">
        <v>5500</v>
      </c>
      <c r="J124" s="17" t="n">
        <v>5800</v>
      </c>
    </row>
    <row r="125" customFormat="false" ht="15" hidden="false" customHeight="false" outlineLevel="0" collapsed="false">
      <c r="A125" s="15" t="n">
        <v>45870</v>
      </c>
      <c r="B125" s="16" t="s">
        <v>66</v>
      </c>
      <c r="C125" s="16" t="s">
        <v>59</v>
      </c>
      <c r="D125" s="16" t="s">
        <v>67</v>
      </c>
      <c r="E125" s="16"/>
      <c r="F125" s="16"/>
      <c r="G125" s="16"/>
      <c r="H125" s="16"/>
      <c r="I125" s="17" t="n">
        <v>12000</v>
      </c>
      <c r="J125" s="17" t="n">
        <v>14000</v>
      </c>
    </row>
    <row r="126" customFormat="false" ht="15" hidden="false" customHeight="false" outlineLevel="0" collapsed="false">
      <c r="A126" s="15" t="n">
        <v>45870</v>
      </c>
      <c r="B126" s="16" t="s">
        <v>68</v>
      </c>
      <c r="C126" s="16" t="s">
        <v>59</v>
      </c>
      <c r="D126" s="16" t="s">
        <v>62</v>
      </c>
      <c r="E126" s="16"/>
      <c r="F126" s="16"/>
      <c r="G126" s="16"/>
      <c r="H126" s="16"/>
      <c r="I126" s="17" t="n">
        <v>6500</v>
      </c>
      <c r="J126" s="17" t="n">
        <v>5300</v>
      </c>
    </row>
    <row r="127" customFormat="false" ht="15" hidden="false" customHeight="false" outlineLevel="0" collapsed="false">
      <c r="A127" s="15" t="n">
        <v>45870</v>
      </c>
      <c r="B127" s="16" t="s">
        <v>69</v>
      </c>
      <c r="C127" s="16" t="s">
        <v>59</v>
      </c>
      <c r="D127" s="16" t="s">
        <v>60</v>
      </c>
      <c r="E127" s="16"/>
      <c r="F127" s="16"/>
      <c r="G127" s="16"/>
      <c r="H127" s="16"/>
      <c r="I127" s="17" t="n">
        <v>8000</v>
      </c>
      <c r="J127" s="17" t="n">
        <v>10600</v>
      </c>
    </row>
    <row r="128" customFormat="false" ht="15" hidden="false" customHeight="false" outlineLevel="0" collapsed="false">
      <c r="A128" s="15" t="n">
        <v>45870</v>
      </c>
      <c r="B128" s="16" t="s">
        <v>70</v>
      </c>
      <c r="C128" s="16" t="s">
        <v>59</v>
      </c>
      <c r="D128" s="16" t="s">
        <v>51</v>
      </c>
      <c r="E128" s="16"/>
      <c r="F128" s="16"/>
      <c r="G128" s="16"/>
      <c r="H128" s="16"/>
      <c r="I128" s="17" t="n">
        <v>26000</v>
      </c>
      <c r="J128" s="17" t="n">
        <v>30800</v>
      </c>
    </row>
    <row r="129" customFormat="false" ht="15" hidden="false" customHeight="false" outlineLevel="0" collapsed="false">
      <c r="A129" s="15" t="n">
        <v>45870</v>
      </c>
      <c r="B129" s="16" t="s">
        <v>71</v>
      </c>
      <c r="C129" s="16" t="s">
        <v>59</v>
      </c>
      <c r="D129" s="16" t="s">
        <v>60</v>
      </c>
      <c r="E129" s="16"/>
      <c r="F129" s="16"/>
      <c r="G129" s="16"/>
      <c r="H129" s="16"/>
      <c r="I129" s="17" t="n">
        <v>30000</v>
      </c>
      <c r="J129" s="17" t="n">
        <v>30000</v>
      </c>
    </row>
    <row r="130" customFormat="false" ht="15" hidden="false" customHeight="false" outlineLevel="0" collapsed="false">
      <c r="A130" s="15" t="n">
        <v>45901</v>
      </c>
      <c r="B130" s="16" t="s">
        <v>49</v>
      </c>
      <c r="C130" s="16" t="s">
        <v>50</v>
      </c>
      <c r="D130" s="16" t="s">
        <v>51</v>
      </c>
      <c r="E130" s="16" t="n">
        <v>445</v>
      </c>
      <c r="F130" s="17" t="n">
        <v>1150</v>
      </c>
      <c r="G130" s="16" t="n">
        <v>502</v>
      </c>
      <c r="H130" s="17" t="n">
        <v>1120</v>
      </c>
      <c r="I130" s="18" t="n">
        <f aca="false">E130*F130</f>
        <v>511750</v>
      </c>
      <c r="J130" s="18" t="n">
        <f aca="false">G130*H130</f>
        <v>562240</v>
      </c>
    </row>
    <row r="131" customFormat="false" ht="15" hidden="false" customHeight="false" outlineLevel="0" collapsed="false">
      <c r="A131" s="15" t="n">
        <v>45901</v>
      </c>
      <c r="B131" s="16" t="s">
        <v>52</v>
      </c>
      <c r="C131" s="16" t="s">
        <v>50</v>
      </c>
      <c r="D131" s="16" t="s">
        <v>51</v>
      </c>
      <c r="E131" s="16" t="n">
        <v>276</v>
      </c>
      <c r="F131" s="17" t="n">
        <v>680</v>
      </c>
      <c r="G131" s="16" t="n">
        <v>254</v>
      </c>
      <c r="H131" s="17" t="n">
        <v>704</v>
      </c>
      <c r="I131" s="18" t="n">
        <f aca="false">E131*F131</f>
        <v>187680</v>
      </c>
      <c r="J131" s="18" t="n">
        <f aca="false">G131*H131</f>
        <v>178816</v>
      </c>
    </row>
    <row r="132" customFormat="false" ht="15" hidden="false" customHeight="false" outlineLevel="0" collapsed="false">
      <c r="A132" s="15" t="n">
        <v>45901</v>
      </c>
      <c r="B132" s="16" t="s">
        <v>53</v>
      </c>
      <c r="C132" s="16" t="s">
        <v>50</v>
      </c>
      <c r="D132" s="16" t="s">
        <v>51</v>
      </c>
      <c r="E132" s="16" t="n">
        <v>40</v>
      </c>
      <c r="F132" s="17" t="n">
        <v>5200</v>
      </c>
      <c r="G132" s="16" t="n">
        <v>39</v>
      </c>
      <c r="H132" s="17" t="n">
        <v>5216</v>
      </c>
      <c r="I132" s="18" t="n">
        <f aca="false">E132*F132</f>
        <v>208000</v>
      </c>
      <c r="J132" s="18" t="n">
        <f aca="false">G132*H132</f>
        <v>203424</v>
      </c>
    </row>
    <row r="133" customFormat="false" ht="15" hidden="false" customHeight="false" outlineLevel="0" collapsed="false">
      <c r="A133" s="15" t="n">
        <v>45901</v>
      </c>
      <c r="B133" s="16" t="s">
        <v>54</v>
      </c>
      <c r="C133" s="16" t="s">
        <v>55</v>
      </c>
      <c r="D133" s="16" t="s">
        <v>51</v>
      </c>
      <c r="E133" s="16"/>
      <c r="F133" s="16"/>
      <c r="G133" s="16"/>
      <c r="H133" s="16"/>
      <c r="I133" s="17" t="n">
        <v>272200</v>
      </c>
      <c r="J133" s="17" t="n">
        <v>304200</v>
      </c>
    </row>
    <row r="134" customFormat="false" ht="15" hidden="false" customHeight="false" outlineLevel="0" collapsed="false">
      <c r="A134" s="15" t="n">
        <v>45901</v>
      </c>
      <c r="B134" s="16" t="s">
        <v>56</v>
      </c>
      <c r="C134" s="16" t="s">
        <v>55</v>
      </c>
      <c r="D134" s="16" t="s">
        <v>51</v>
      </c>
      <c r="E134" s="16"/>
      <c r="F134" s="16"/>
      <c r="G134" s="16"/>
      <c r="H134" s="16"/>
      <c r="I134" s="17" t="n">
        <v>81700</v>
      </c>
      <c r="J134" s="17" t="n">
        <v>98000</v>
      </c>
    </row>
    <row r="135" customFormat="false" ht="15" hidden="false" customHeight="false" outlineLevel="0" collapsed="false">
      <c r="A135" s="15" t="n">
        <v>45901</v>
      </c>
      <c r="B135" s="16" t="s">
        <v>57</v>
      </c>
      <c r="C135" s="16" t="s">
        <v>55</v>
      </c>
      <c r="D135" s="16" t="s">
        <v>51</v>
      </c>
      <c r="E135" s="16"/>
      <c r="F135" s="16"/>
      <c r="G135" s="16"/>
      <c r="H135" s="16"/>
      <c r="I135" s="17" t="n">
        <v>63500</v>
      </c>
      <c r="J135" s="17" t="n">
        <v>81700</v>
      </c>
    </row>
    <row r="136" customFormat="false" ht="15" hidden="false" customHeight="false" outlineLevel="0" collapsed="false">
      <c r="A136" s="15" t="n">
        <v>45901</v>
      </c>
      <c r="B136" s="16" t="s">
        <v>58</v>
      </c>
      <c r="C136" s="16" t="s">
        <v>59</v>
      </c>
      <c r="D136" s="16" t="s">
        <v>60</v>
      </c>
      <c r="E136" s="16"/>
      <c r="F136" s="16"/>
      <c r="G136" s="16"/>
      <c r="H136" s="16"/>
      <c r="I136" s="17" t="n">
        <v>62000</v>
      </c>
      <c r="J136" s="17" t="n">
        <v>65800</v>
      </c>
    </row>
    <row r="137" customFormat="false" ht="15" hidden="false" customHeight="false" outlineLevel="0" collapsed="false">
      <c r="A137" s="15" t="n">
        <v>45901</v>
      </c>
      <c r="B137" s="16" t="s">
        <v>61</v>
      </c>
      <c r="C137" s="16" t="s">
        <v>59</v>
      </c>
      <c r="D137" s="16" t="s">
        <v>62</v>
      </c>
      <c r="E137" s="16"/>
      <c r="F137" s="16"/>
      <c r="G137" s="16"/>
      <c r="H137" s="16"/>
      <c r="I137" s="17" t="n">
        <v>38000</v>
      </c>
      <c r="J137" s="17" t="n">
        <v>41000</v>
      </c>
    </row>
    <row r="138" customFormat="false" ht="15" hidden="false" customHeight="false" outlineLevel="0" collapsed="false">
      <c r="A138" s="15" t="n">
        <v>45901</v>
      </c>
      <c r="B138" s="16" t="s">
        <v>63</v>
      </c>
      <c r="C138" s="16" t="s">
        <v>59</v>
      </c>
      <c r="D138" s="16" t="s">
        <v>62</v>
      </c>
      <c r="E138" s="16"/>
      <c r="F138" s="16"/>
      <c r="G138" s="16"/>
      <c r="H138" s="16"/>
      <c r="I138" s="17" t="n">
        <v>14000</v>
      </c>
      <c r="J138" s="17" t="n">
        <v>11200</v>
      </c>
    </row>
    <row r="139" customFormat="false" ht="15" hidden="false" customHeight="false" outlineLevel="0" collapsed="false">
      <c r="A139" s="15" t="n">
        <v>45901</v>
      </c>
      <c r="B139" s="16" t="s">
        <v>64</v>
      </c>
      <c r="C139" s="16" t="s">
        <v>59</v>
      </c>
      <c r="D139" s="16" t="s">
        <v>60</v>
      </c>
      <c r="E139" s="16"/>
      <c r="F139" s="16"/>
      <c r="G139" s="16"/>
      <c r="H139" s="16"/>
      <c r="I139" s="17" t="n">
        <v>22000</v>
      </c>
      <c r="J139" s="17" t="n">
        <v>22000</v>
      </c>
    </row>
    <row r="140" customFormat="false" ht="15" hidden="false" customHeight="false" outlineLevel="0" collapsed="false">
      <c r="A140" s="15" t="n">
        <v>45901</v>
      </c>
      <c r="B140" s="16" t="s">
        <v>65</v>
      </c>
      <c r="C140" s="16" t="s">
        <v>59</v>
      </c>
      <c r="D140" s="16" t="s">
        <v>60</v>
      </c>
      <c r="E140" s="16"/>
      <c r="F140" s="16"/>
      <c r="G140" s="16"/>
      <c r="H140" s="16"/>
      <c r="I140" s="17" t="n">
        <v>5500</v>
      </c>
      <c r="J140" s="17" t="n">
        <v>6100</v>
      </c>
    </row>
    <row r="141" customFormat="false" ht="15" hidden="false" customHeight="false" outlineLevel="0" collapsed="false">
      <c r="A141" s="15" t="n">
        <v>45901</v>
      </c>
      <c r="B141" s="16" t="s">
        <v>66</v>
      </c>
      <c r="C141" s="16" t="s">
        <v>59</v>
      </c>
      <c r="D141" s="16" t="s">
        <v>67</v>
      </c>
      <c r="E141" s="16"/>
      <c r="F141" s="16"/>
      <c r="G141" s="16"/>
      <c r="H141" s="16"/>
      <c r="I141" s="17" t="n">
        <v>12000</v>
      </c>
      <c r="J141" s="17" t="n">
        <v>14700</v>
      </c>
    </row>
    <row r="142" customFormat="false" ht="15" hidden="false" customHeight="false" outlineLevel="0" collapsed="false">
      <c r="A142" s="15" t="n">
        <v>45901</v>
      </c>
      <c r="B142" s="16" t="s">
        <v>68</v>
      </c>
      <c r="C142" s="16" t="s">
        <v>59</v>
      </c>
      <c r="D142" s="16" t="s">
        <v>62</v>
      </c>
      <c r="E142" s="16"/>
      <c r="F142" s="16"/>
      <c r="G142" s="16"/>
      <c r="H142" s="16"/>
      <c r="I142" s="17" t="n">
        <v>6500</v>
      </c>
      <c r="J142" s="17" t="n">
        <v>5400</v>
      </c>
    </row>
    <row r="143" customFormat="false" ht="15" hidden="false" customHeight="false" outlineLevel="0" collapsed="false">
      <c r="A143" s="15" t="n">
        <v>45901</v>
      </c>
      <c r="B143" s="16" t="s">
        <v>69</v>
      </c>
      <c r="C143" s="16" t="s">
        <v>59</v>
      </c>
      <c r="D143" s="16" t="s">
        <v>60</v>
      </c>
      <c r="E143" s="16"/>
      <c r="F143" s="16"/>
      <c r="G143" s="16"/>
      <c r="H143" s="16"/>
      <c r="I143" s="17" t="n">
        <v>8000</v>
      </c>
      <c r="J143" s="17" t="n">
        <v>11100</v>
      </c>
    </row>
    <row r="144" customFormat="false" ht="15" hidden="false" customHeight="false" outlineLevel="0" collapsed="false">
      <c r="A144" s="15" t="n">
        <v>45901</v>
      </c>
      <c r="B144" s="16" t="s">
        <v>70</v>
      </c>
      <c r="C144" s="16" t="s">
        <v>59</v>
      </c>
      <c r="D144" s="16" t="s">
        <v>51</v>
      </c>
      <c r="E144" s="16"/>
      <c r="F144" s="16"/>
      <c r="G144" s="16"/>
      <c r="H144" s="16"/>
      <c r="I144" s="17" t="n">
        <v>26000</v>
      </c>
      <c r="J144" s="17" t="n">
        <v>28000</v>
      </c>
    </row>
    <row r="145" customFormat="false" ht="15" hidden="false" customHeight="false" outlineLevel="0" collapsed="false">
      <c r="A145" s="15" t="n">
        <v>45901</v>
      </c>
      <c r="B145" s="16" t="s">
        <v>71</v>
      </c>
      <c r="C145" s="16" t="s">
        <v>59</v>
      </c>
      <c r="D145" s="16" t="s">
        <v>60</v>
      </c>
      <c r="E145" s="16"/>
      <c r="F145" s="16"/>
      <c r="G145" s="16"/>
      <c r="H145" s="16"/>
      <c r="I145" s="17" t="n">
        <v>30000</v>
      </c>
      <c r="J145" s="17" t="n">
        <v>30000</v>
      </c>
    </row>
    <row r="146" customFormat="false" ht="15" hidden="false" customHeight="false" outlineLevel="0" collapsed="false">
      <c r="A146" s="15" t="n">
        <v>45931</v>
      </c>
      <c r="B146" s="16" t="s">
        <v>49</v>
      </c>
      <c r="C146" s="16" t="s">
        <v>50</v>
      </c>
      <c r="D146" s="16" t="s">
        <v>51</v>
      </c>
      <c r="E146" s="16" t="n">
        <v>462</v>
      </c>
      <c r="F146" s="17" t="n">
        <v>1150</v>
      </c>
      <c r="G146" s="16" t="n">
        <v>489</v>
      </c>
      <c r="H146" s="17" t="n">
        <v>1125</v>
      </c>
      <c r="I146" s="18" t="n">
        <f aca="false">E146*F146</f>
        <v>531300</v>
      </c>
      <c r="J146" s="18" t="n">
        <f aca="false">G146*H146</f>
        <v>550125</v>
      </c>
    </row>
    <row r="147" customFormat="false" ht="15" hidden="false" customHeight="false" outlineLevel="0" collapsed="false">
      <c r="A147" s="15" t="n">
        <v>45931</v>
      </c>
      <c r="B147" s="16" t="s">
        <v>52</v>
      </c>
      <c r="C147" s="16" t="s">
        <v>50</v>
      </c>
      <c r="D147" s="16" t="s">
        <v>51</v>
      </c>
      <c r="E147" s="16" t="n">
        <v>286</v>
      </c>
      <c r="F147" s="17" t="n">
        <v>680</v>
      </c>
      <c r="G147" s="16" t="n">
        <v>270</v>
      </c>
      <c r="H147" s="17" t="n">
        <v>703</v>
      </c>
      <c r="I147" s="18" t="n">
        <f aca="false">E147*F147</f>
        <v>194480</v>
      </c>
      <c r="J147" s="18" t="n">
        <f aca="false">G147*H147</f>
        <v>189810</v>
      </c>
    </row>
    <row r="148" customFormat="false" ht="15" hidden="false" customHeight="false" outlineLevel="0" collapsed="false">
      <c r="A148" s="15" t="n">
        <v>45931</v>
      </c>
      <c r="B148" s="16" t="s">
        <v>53</v>
      </c>
      <c r="C148" s="16" t="s">
        <v>50</v>
      </c>
      <c r="D148" s="16" t="s">
        <v>51</v>
      </c>
      <c r="E148" s="16" t="n">
        <v>42</v>
      </c>
      <c r="F148" s="17" t="n">
        <v>5200</v>
      </c>
      <c r="G148" s="16" t="n">
        <v>46</v>
      </c>
      <c r="H148" s="17" t="n">
        <v>5276</v>
      </c>
      <c r="I148" s="18" t="n">
        <f aca="false">E148*F148</f>
        <v>218400</v>
      </c>
      <c r="J148" s="18" t="n">
        <f aca="false">G148*H148</f>
        <v>242696</v>
      </c>
    </row>
    <row r="149" customFormat="false" ht="15" hidden="false" customHeight="false" outlineLevel="0" collapsed="false">
      <c r="A149" s="15" t="n">
        <v>45931</v>
      </c>
      <c r="B149" s="16" t="s">
        <v>54</v>
      </c>
      <c r="C149" s="16" t="s">
        <v>55</v>
      </c>
      <c r="D149" s="16" t="s">
        <v>51</v>
      </c>
      <c r="E149" s="16"/>
      <c r="F149" s="16"/>
      <c r="G149" s="16"/>
      <c r="H149" s="16"/>
      <c r="I149" s="17" t="n">
        <v>283300</v>
      </c>
      <c r="J149" s="17" t="n">
        <v>311500</v>
      </c>
    </row>
    <row r="150" customFormat="false" ht="15" hidden="false" customHeight="false" outlineLevel="0" collapsed="false">
      <c r="A150" s="15" t="n">
        <v>45931</v>
      </c>
      <c r="B150" s="16" t="s">
        <v>56</v>
      </c>
      <c r="C150" s="16" t="s">
        <v>55</v>
      </c>
      <c r="D150" s="16" t="s">
        <v>51</v>
      </c>
      <c r="E150" s="16"/>
      <c r="F150" s="16"/>
      <c r="G150" s="16"/>
      <c r="H150" s="16"/>
      <c r="I150" s="17" t="n">
        <v>85000</v>
      </c>
      <c r="J150" s="17" t="n">
        <v>95200</v>
      </c>
    </row>
    <row r="151" customFormat="false" ht="15" hidden="false" customHeight="false" outlineLevel="0" collapsed="false">
      <c r="A151" s="15" t="n">
        <v>45931</v>
      </c>
      <c r="B151" s="16" t="s">
        <v>57</v>
      </c>
      <c r="C151" s="16" t="s">
        <v>55</v>
      </c>
      <c r="D151" s="16" t="s">
        <v>51</v>
      </c>
      <c r="E151" s="16"/>
      <c r="F151" s="16"/>
      <c r="G151" s="16"/>
      <c r="H151" s="16"/>
      <c r="I151" s="17" t="n">
        <v>66100</v>
      </c>
      <c r="J151" s="17" t="n">
        <v>86300</v>
      </c>
    </row>
    <row r="152" customFormat="false" ht="15" hidden="false" customHeight="false" outlineLevel="0" collapsed="false">
      <c r="A152" s="15" t="n">
        <v>45931</v>
      </c>
      <c r="B152" s="16" t="s">
        <v>58</v>
      </c>
      <c r="C152" s="16" t="s">
        <v>59</v>
      </c>
      <c r="D152" s="16" t="s">
        <v>60</v>
      </c>
      <c r="E152" s="16"/>
      <c r="F152" s="16"/>
      <c r="G152" s="16"/>
      <c r="H152" s="16"/>
      <c r="I152" s="17" t="n">
        <v>62000</v>
      </c>
      <c r="J152" s="17" t="n">
        <v>61000</v>
      </c>
    </row>
    <row r="153" customFormat="false" ht="15" hidden="false" customHeight="false" outlineLevel="0" collapsed="false">
      <c r="A153" s="15" t="n">
        <v>45931</v>
      </c>
      <c r="B153" s="16" t="s">
        <v>61</v>
      </c>
      <c r="C153" s="16" t="s">
        <v>59</v>
      </c>
      <c r="D153" s="16" t="s">
        <v>62</v>
      </c>
      <c r="E153" s="16"/>
      <c r="F153" s="16"/>
      <c r="G153" s="16"/>
      <c r="H153" s="16"/>
      <c r="I153" s="17" t="n">
        <v>38000</v>
      </c>
      <c r="J153" s="17" t="n">
        <v>40500</v>
      </c>
    </row>
    <row r="154" customFormat="false" ht="15" hidden="false" customHeight="false" outlineLevel="0" collapsed="false">
      <c r="A154" s="15" t="n">
        <v>45931</v>
      </c>
      <c r="B154" s="16" t="s">
        <v>63</v>
      </c>
      <c r="C154" s="16" t="s">
        <v>59</v>
      </c>
      <c r="D154" s="16" t="s">
        <v>62</v>
      </c>
      <c r="E154" s="16"/>
      <c r="F154" s="16"/>
      <c r="G154" s="16"/>
      <c r="H154" s="16"/>
      <c r="I154" s="17" t="n">
        <v>14000</v>
      </c>
      <c r="J154" s="17" t="n">
        <v>19600</v>
      </c>
    </row>
    <row r="155" customFormat="false" ht="15" hidden="false" customHeight="false" outlineLevel="0" collapsed="false">
      <c r="A155" s="15" t="n">
        <v>45931</v>
      </c>
      <c r="B155" s="16" t="s">
        <v>64</v>
      </c>
      <c r="C155" s="16" t="s">
        <v>59</v>
      </c>
      <c r="D155" s="16" t="s">
        <v>60</v>
      </c>
      <c r="E155" s="16"/>
      <c r="F155" s="16"/>
      <c r="G155" s="16"/>
      <c r="H155" s="16"/>
      <c r="I155" s="17" t="n">
        <v>22000</v>
      </c>
      <c r="J155" s="17" t="n">
        <v>22000</v>
      </c>
    </row>
    <row r="156" customFormat="false" ht="15" hidden="false" customHeight="false" outlineLevel="0" collapsed="false">
      <c r="A156" s="15" t="n">
        <v>45931</v>
      </c>
      <c r="B156" s="16" t="s">
        <v>65</v>
      </c>
      <c r="C156" s="16" t="s">
        <v>59</v>
      </c>
      <c r="D156" s="16" t="s">
        <v>60</v>
      </c>
      <c r="E156" s="16"/>
      <c r="F156" s="16"/>
      <c r="G156" s="16"/>
      <c r="H156" s="16"/>
      <c r="I156" s="17" t="n">
        <v>5500</v>
      </c>
      <c r="J156" s="17" t="n">
        <v>6300</v>
      </c>
    </row>
    <row r="157" customFormat="false" ht="15" hidden="false" customHeight="false" outlineLevel="0" collapsed="false">
      <c r="A157" s="15" t="n">
        <v>45931</v>
      </c>
      <c r="B157" s="16" t="s">
        <v>66</v>
      </c>
      <c r="C157" s="16" t="s">
        <v>59</v>
      </c>
      <c r="D157" s="16" t="s">
        <v>67</v>
      </c>
      <c r="E157" s="16"/>
      <c r="F157" s="16"/>
      <c r="G157" s="16"/>
      <c r="H157" s="16"/>
      <c r="I157" s="17" t="n">
        <v>12000</v>
      </c>
      <c r="J157" s="17" t="n">
        <v>14500</v>
      </c>
    </row>
    <row r="158" customFormat="false" ht="15" hidden="false" customHeight="false" outlineLevel="0" collapsed="false">
      <c r="A158" s="15" t="n">
        <v>45931</v>
      </c>
      <c r="B158" s="16" t="s">
        <v>68</v>
      </c>
      <c r="C158" s="16" t="s">
        <v>59</v>
      </c>
      <c r="D158" s="16" t="s">
        <v>62</v>
      </c>
      <c r="E158" s="16"/>
      <c r="F158" s="16"/>
      <c r="G158" s="16"/>
      <c r="H158" s="16"/>
      <c r="I158" s="17" t="n">
        <v>6500</v>
      </c>
      <c r="J158" s="17" t="n">
        <v>5800</v>
      </c>
    </row>
    <row r="159" customFormat="false" ht="15" hidden="false" customHeight="false" outlineLevel="0" collapsed="false">
      <c r="A159" s="15" t="n">
        <v>45931</v>
      </c>
      <c r="B159" s="16" t="s">
        <v>69</v>
      </c>
      <c r="C159" s="16" t="s">
        <v>59</v>
      </c>
      <c r="D159" s="16" t="s">
        <v>60</v>
      </c>
      <c r="E159" s="16"/>
      <c r="F159" s="16"/>
      <c r="G159" s="16"/>
      <c r="H159" s="16"/>
      <c r="I159" s="17" t="n">
        <v>8000</v>
      </c>
      <c r="J159" s="17" t="n">
        <v>10600</v>
      </c>
    </row>
    <row r="160" customFormat="false" ht="15" hidden="false" customHeight="false" outlineLevel="0" collapsed="false">
      <c r="A160" s="15" t="n">
        <v>45931</v>
      </c>
      <c r="B160" s="16" t="s">
        <v>70</v>
      </c>
      <c r="C160" s="16" t="s">
        <v>59</v>
      </c>
      <c r="D160" s="16" t="s">
        <v>51</v>
      </c>
      <c r="E160" s="16"/>
      <c r="F160" s="16"/>
      <c r="G160" s="16"/>
      <c r="H160" s="16"/>
      <c r="I160" s="17" t="n">
        <v>26000</v>
      </c>
      <c r="J160" s="17" t="n">
        <v>29400</v>
      </c>
    </row>
    <row r="161" customFormat="false" ht="15" hidden="false" customHeight="false" outlineLevel="0" collapsed="false">
      <c r="A161" s="15" t="n">
        <v>45931</v>
      </c>
      <c r="B161" s="16" t="s">
        <v>71</v>
      </c>
      <c r="C161" s="16" t="s">
        <v>59</v>
      </c>
      <c r="D161" s="16" t="s">
        <v>60</v>
      </c>
      <c r="E161" s="16"/>
      <c r="F161" s="16"/>
      <c r="G161" s="16"/>
      <c r="H161" s="16"/>
      <c r="I161" s="17" t="n">
        <v>30000</v>
      </c>
      <c r="J161" s="17" t="n">
        <v>30000</v>
      </c>
    </row>
    <row r="162" customFormat="false" ht="15" hidden="false" customHeight="false" outlineLevel="0" collapsed="false">
      <c r="A162" s="15" t="n">
        <v>45962</v>
      </c>
      <c r="B162" s="16" t="s">
        <v>49</v>
      </c>
      <c r="C162" s="16" t="s">
        <v>50</v>
      </c>
      <c r="D162" s="16" t="s">
        <v>51</v>
      </c>
      <c r="E162" s="16" t="n">
        <v>449</v>
      </c>
      <c r="F162" s="17" t="n">
        <v>1150</v>
      </c>
      <c r="G162" s="16" t="n">
        <v>492</v>
      </c>
      <c r="H162" s="17" t="n">
        <v>1126</v>
      </c>
      <c r="I162" s="18" t="n">
        <f aca="false">E162*F162</f>
        <v>516350</v>
      </c>
      <c r="J162" s="18" t="n">
        <f aca="false">G162*H162</f>
        <v>553992</v>
      </c>
    </row>
    <row r="163" customFormat="false" ht="15" hidden="false" customHeight="false" outlineLevel="0" collapsed="false">
      <c r="A163" s="15" t="n">
        <v>45962</v>
      </c>
      <c r="B163" s="16" t="s">
        <v>52</v>
      </c>
      <c r="C163" s="16" t="s">
        <v>50</v>
      </c>
      <c r="D163" s="16" t="s">
        <v>51</v>
      </c>
      <c r="E163" s="16" t="n">
        <v>278</v>
      </c>
      <c r="F163" s="17" t="n">
        <v>680</v>
      </c>
      <c r="G163" s="16" t="n">
        <v>250</v>
      </c>
      <c r="H163" s="17" t="n">
        <v>714</v>
      </c>
      <c r="I163" s="18" t="n">
        <f aca="false">E163*F163</f>
        <v>189040</v>
      </c>
      <c r="J163" s="18" t="n">
        <f aca="false">G163*H163</f>
        <v>178500</v>
      </c>
    </row>
    <row r="164" customFormat="false" ht="15" hidden="false" customHeight="false" outlineLevel="0" collapsed="false">
      <c r="A164" s="15" t="n">
        <v>45962</v>
      </c>
      <c r="B164" s="16" t="s">
        <v>53</v>
      </c>
      <c r="C164" s="16" t="s">
        <v>50</v>
      </c>
      <c r="D164" s="16" t="s">
        <v>51</v>
      </c>
      <c r="E164" s="16" t="n">
        <v>41</v>
      </c>
      <c r="F164" s="17" t="n">
        <v>5200</v>
      </c>
      <c r="G164" s="16" t="n">
        <v>44</v>
      </c>
      <c r="H164" s="17" t="n">
        <v>5282</v>
      </c>
      <c r="I164" s="18" t="n">
        <f aca="false">E164*F164</f>
        <v>213200</v>
      </c>
      <c r="J164" s="18" t="n">
        <f aca="false">G164*H164</f>
        <v>232408</v>
      </c>
    </row>
    <row r="165" customFormat="false" ht="15" hidden="false" customHeight="false" outlineLevel="0" collapsed="false">
      <c r="A165" s="15" t="n">
        <v>45962</v>
      </c>
      <c r="B165" s="16" t="s">
        <v>54</v>
      </c>
      <c r="C165" s="16" t="s">
        <v>55</v>
      </c>
      <c r="D165" s="16" t="s">
        <v>51</v>
      </c>
      <c r="E165" s="16"/>
      <c r="F165" s="16"/>
      <c r="G165" s="16"/>
      <c r="H165" s="16"/>
      <c r="I165" s="17" t="n">
        <v>275600</v>
      </c>
      <c r="J165" s="17" t="n">
        <v>315500</v>
      </c>
    </row>
    <row r="166" customFormat="false" ht="15" hidden="false" customHeight="false" outlineLevel="0" collapsed="false">
      <c r="A166" s="15" t="n">
        <v>45962</v>
      </c>
      <c r="B166" s="16" t="s">
        <v>56</v>
      </c>
      <c r="C166" s="16" t="s">
        <v>55</v>
      </c>
      <c r="D166" s="16" t="s">
        <v>51</v>
      </c>
      <c r="E166" s="16"/>
      <c r="F166" s="16"/>
      <c r="G166" s="16"/>
      <c r="H166" s="16"/>
      <c r="I166" s="17" t="n">
        <v>82700</v>
      </c>
      <c r="J166" s="17" t="n">
        <v>100800</v>
      </c>
    </row>
    <row r="167" customFormat="false" ht="15" hidden="false" customHeight="false" outlineLevel="0" collapsed="false">
      <c r="A167" s="15" t="n">
        <v>45962</v>
      </c>
      <c r="B167" s="16" t="s">
        <v>57</v>
      </c>
      <c r="C167" s="16" t="s">
        <v>55</v>
      </c>
      <c r="D167" s="16" t="s">
        <v>51</v>
      </c>
      <c r="E167" s="16"/>
      <c r="F167" s="16"/>
      <c r="G167" s="16"/>
      <c r="H167" s="16"/>
      <c r="I167" s="17" t="n">
        <v>64300</v>
      </c>
      <c r="J167" s="17" t="n">
        <v>84600</v>
      </c>
    </row>
    <row r="168" customFormat="false" ht="15" hidden="false" customHeight="false" outlineLevel="0" collapsed="false">
      <c r="A168" s="15" t="n">
        <v>45962</v>
      </c>
      <c r="B168" s="16" t="s">
        <v>58</v>
      </c>
      <c r="C168" s="16" t="s">
        <v>59</v>
      </c>
      <c r="D168" s="16" t="s">
        <v>60</v>
      </c>
      <c r="E168" s="16"/>
      <c r="F168" s="16"/>
      <c r="G168" s="16"/>
      <c r="H168" s="16"/>
      <c r="I168" s="17" t="n">
        <v>62000</v>
      </c>
      <c r="J168" s="17" t="n">
        <v>63500</v>
      </c>
    </row>
    <row r="169" customFormat="false" ht="15" hidden="false" customHeight="false" outlineLevel="0" collapsed="false">
      <c r="A169" s="15" t="n">
        <v>45962</v>
      </c>
      <c r="B169" s="16" t="s">
        <v>61</v>
      </c>
      <c r="C169" s="16" t="s">
        <v>59</v>
      </c>
      <c r="D169" s="16" t="s">
        <v>62</v>
      </c>
      <c r="E169" s="16"/>
      <c r="F169" s="16"/>
      <c r="G169" s="16"/>
      <c r="H169" s="16"/>
      <c r="I169" s="17" t="n">
        <v>38000</v>
      </c>
      <c r="J169" s="17" t="n">
        <v>37700</v>
      </c>
    </row>
    <row r="170" customFormat="false" ht="15" hidden="false" customHeight="false" outlineLevel="0" collapsed="false">
      <c r="A170" s="15" t="n">
        <v>45962</v>
      </c>
      <c r="B170" s="16" t="s">
        <v>63</v>
      </c>
      <c r="C170" s="16" t="s">
        <v>59</v>
      </c>
      <c r="D170" s="16" t="s">
        <v>62</v>
      </c>
      <c r="E170" s="16"/>
      <c r="F170" s="16"/>
      <c r="G170" s="16"/>
      <c r="H170" s="16"/>
      <c r="I170" s="17" t="n">
        <v>14000</v>
      </c>
      <c r="J170" s="17" t="n">
        <v>19600</v>
      </c>
    </row>
    <row r="171" customFormat="false" ht="15" hidden="false" customHeight="false" outlineLevel="0" collapsed="false">
      <c r="A171" s="15" t="n">
        <v>45962</v>
      </c>
      <c r="B171" s="16" t="s">
        <v>64</v>
      </c>
      <c r="C171" s="16" t="s">
        <v>59</v>
      </c>
      <c r="D171" s="16" t="s">
        <v>60</v>
      </c>
      <c r="E171" s="16"/>
      <c r="F171" s="16"/>
      <c r="G171" s="16"/>
      <c r="H171" s="16"/>
      <c r="I171" s="17" t="n">
        <v>22000</v>
      </c>
      <c r="J171" s="17" t="n">
        <v>22000</v>
      </c>
    </row>
    <row r="172" customFormat="false" ht="15" hidden="false" customHeight="false" outlineLevel="0" collapsed="false">
      <c r="A172" s="15" t="n">
        <v>45962</v>
      </c>
      <c r="B172" s="16" t="s">
        <v>65</v>
      </c>
      <c r="C172" s="16" t="s">
        <v>59</v>
      </c>
      <c r="D172" s="16" t="s">
        <v>60</v>
      </c>
      <c r="E172" s="16"/>
      <c r="F172" s="16"/>
      <c r="G172" s="16"/>
      <c r="H172" s="16"/>
      <c r="I172" s="17" t="n">
        <v>5500</v>
      </c>
      <c r="J172" s="17" t="n">
        <v>6400</v>
      </c>
    </row>
    <row r="173" customFormat="false" ht="15" hidden="false" customHeight="false" outlineLevel="0" collapsed="false">
      <c r="A173" s="15" t="n">
        <v>45962</v>
      </c>
      <c r="B173" s="16" t="s">
        <v>66</v>
      </c>
      <c r="C173" s="16" t="s">
        <v>59</v>
      </c>
      <c r="D173" s="16" t="s">
        <v>67</v>
      </c>
      <c r="E173" s="16"/>
      <c r="F173" s="16"/>
      <c r="G173" s="16"/>
      <c r="H173" s="16"/>
      <c r="I173" s="17" t="n">
        <v>12000</v>
      </c>
      <c r="J173" s="17" t="n">
        <v>14100</v>
      </c>
    </row>
    <row r="174" customFormat="false" ht="15" hidden="false" customHeight="false" outlineLevel="0" collapsed="false">
      <c r="A174" s="15" t="n">
        <v>45962</v>
      </c>
      <c r="B174" s="16" t="s">
        <v>68</v>
      </c>
      <c r="C174" s="16" t="s">
        <v>59</v>
      </c>
      <c r="D174" s="16" t="s">
        <v>62</v>
      </c>
      <c r="E174" s="16"/>
      <c r="F174" s="16"/>
      <c r="G174" s="16"/>
      <c r="H174" s="16"/>
      <c r="I174" s="17" t="n">
        <v>6500</v>
      </c>
      <c r="J174" s="17" t="n">
        <v>5700</v>
      </c>
    </row>
    <row r="175" customFormat="false" ht="15" hidden="false" customHeight="false" outlineLevel="0" collapsed="false">
      <c r="A175" s="15" t="n">
        <v>45962</v>
      </c>
      <c r="B175" s="16" t="s">
        <v>69</v>
      </c>
      <c r="C175" s="16" t="s">
        <v>59</v>
      </c>
      <c r="D175" s="16" t="s">
        <v>60</v>
      </c>
      <c r="E175" s="16"/>
      <c r="F175" s="16"/>
      <c r="G175" s="16"/>
      <c r="H175" s="16"/>
      <c r="I175" s="17" t="n">
        <v>8000</v>
      </c>
      <c r="J175" s="17" t="n">
        <v>11100</v>
      </c>
    </row>
    <row r="176" customFormat="false" ht="15" hidden="false" customHeight="false" outlineLevel="0" collapsed="false">
      <c r="A176" s="15" t="n">
        <v>45962</v>
      </c>
      <c r="B176" s="16" t="s">
        <v>70</v>
      </c>
      <c r="C176" s="16" t="s">
        <v>59</v>
      </c>
      <c r="D176" s="16" t="s">
        <v>51</v>
      </c>
      <c r="E176" s="16"/>
      <c r="F176" s="16"/>
      <c r="G176" s="16"/>
      <c r="H176" s="16"/>
      <c r="I176" s="17" t="n">
        <v>26000</v>
      </c>
      <c r="J176" s="17" t="n">
        <v>29800</v>
      </c>
    </row>
    <row r="177" customFormat="false" ht="15" hidden="false" customHeight="false" outlineLevel="0" collapsed="false">
      <c r="A177" s="15" t="n">
        <v>45962</v>
      </c>
      <c r="B177" s="16" t="s">
        <v>71</v>
      </c>
      <c r="C177" s="16" t="s">
        <v>59</v>
      </c>
      <c r="D177" s="16" t="s">
        <v>60</v>
      </c>
      <c r="E177" s="16"/>
      <c r="F177" s="16"/>
      <c r="G177" s="16"/>
      <c r="H177" s="16"/>
      <c r="I177" s="17" t="n">
        <v>30000</v>
      </c>
      <c r="J177" s="17" t="n">
        <v>30000</v>
      </c>
    </row>
    <row r="178" customFormat="false" ht="15" hidden="false" customHeight="false" outlineLevel="0" collapsed="false">
      <c r="A178" s="15" t="n">
        <v>45992</v>
      </c>
      <c r="B178" s="16" t="s">
        <v>49</v>
      </c>
      <c r="C178" s="16" t="s">
        <v>50</v>
      </c>
      <c r="D178" s="16" t="s">
        <v>51</v>
      </c>
      <c r="E178" s="16" t="n">
        <v>449</v>
      </c>
      <c r="F178" s="17" t="n">
        <v>1150</v>
      </c>
      <c r="G178" s="16" t="n">
        <v>454</v>
      </c>
      <c r="H178" s="17" t="n">
        <v>1125</v>
      </c>
      <c r="I178" s="18" t="n">
        <f aca="false">E178*F178</f>
        <v>516350</v>
      </c>
      <c r="J178" s="18" t="n">
        <f aca="false">G178*H178</f>
        <v>510750</v>
      </c>
    </row>
    <row r="179" customFormat="false" ht="15" hidden="false" customHeight="false" outlineLevel="0" collapsed="false">
      <c r="A179" s="15" t="n">
        <v>45992</v>
      </c>
      <c r="B179" s="16" t="s">
        <v>52</v>
      </c>
      <c r="C179" s="16" t="s">
        <v>50</v>
      </c>
      <c r="D179" s="16" t="s">
        <v>51</v>
      </c>
      <c r="E179" s="16" t="n">
        <v>278</v>
      </c>
      <c r="F179" s="17" t="n">
        <v>680</v>
      </c>
      <c r="G179" s="16" t="n">
        <v>259</v>
      </c>
      <c r="H179" s="17" t="n">
        <v>711</v>
      </c>
      <c r="I179" s="18" t="n">
        <f aca="false">E179*F179</f>
        <v>189040</v>
      </c>
      <c r="J179" s="18" t="n">
        <f aca="false">G179*H179</f>
        <v>184149</v>
      </c>
    </row>
    <row r="180" customFormat="false" ht="15" hidden="false" customHeight="false" outlineLevel="0" collapsed="false">
      <c r="A180" s="15" t="n">
        <v>45992</v>
      </c>
      <c r="B180" s="16" t="s">
        <v>53</v>
      </c>
      <c r="C180" s="16" t="s">
        <v>50</v>
      </c>
      <c r="D180" s="16" t="s">
        <v>51</v>
      </c>
      <c r="E180" s="16" t="n">
        <v>41</v>
      </c>
      <c r="F180" s="17" t="n">
        <v>5200</v>
      </c>
      <c r="G180" s="16" t="n">
        <v>42</v>
      </c>
      <c r="H180" s="17" t="n">
        <v>5271</v>
      </c>
      <c r="I180" s="18" t="n">
        <f aca="false">E180*F180</f>
        <v>213200</v>
      </c>
      <c r="J180" s="18" t="n">
        <f aca="false">G180*H180</f>
        <v>221382</v>
      </c>
    </row>
    <row r="181" customFormat="false" ht="15" hidden="false" customHeight="false" outlineLevel="0" collapsed="false">
      <c r="A181" s="15" t="n">
        <v>45992</v>
      </c>
      <c r="B181" s="16" t="s">
        <v>54</v>
      </c>
      <c r="C181" s="16" t="s">
        <v>55</v>
      </c>
      <c r="D181" s="16" t="s">
        <v>51</v>
      </c>
      <c r="E181" s="16"/>
      <c r="F181" s="16"/>
      <c r="G181" s="16"/>
      <c r="H181" s="16"/>
      <c r="I181" s="17" t="n">
        <v>275600</v>
      </c>
      <c r="J181" s="17" t="n">
        <v>295000</v>
      </c>
    </row>
    <row r="182" customFormat="false" ht="15" hidden="false" customHeight="false" outlineLevel="0" collapsed="false">
      <c r="A182" s="15" t="n">
        <v>45992</v>
      </c>
      <c r="B182" s="16" t="s">
        <v>56</v>
      </c>
      <c r="C182" s="16" t="s">
        <v>55</v>
      </c>
      <c r="D182" s="16" t="s">
        <v>51</v>
      </c>
      <c r="E182" s="16"/>
      <c r="F182" s="16"/>
      <c r="G182" s="16"/>
      <c r="H182" s="16"/>
      <c r="I182" s="17" t="n">
        <v>82700</v>
      </c>
      <c r="J182" s="17" t="n">
        <v>93400</v>
      </c>
    </row>
    <row r="183" customFormat="false" ht="15" hidden="false" customHeight="false" outlineLevel="0" collapsed="false">
      <c r="A183" s="15" t="n">
        <v>45992</v>
      </c>
      <c r="B183" s="16" t="s">
        <v>57</v>
      </c>
      <c r="C183" s="16" t="s">
        <v>55</v>
      </c>
      <c r="D183" s="16" t="s">
        <v>51</v>
      </c>
      <c r="E183" s="16"/>
      <c r="F183" s="16"/>
      <c r="G183" s="16"/>
      <c r="H183" s="16"/>
      <c r="I183" s="17" t="n">
        <v>64300</v>
      </c>
      <c r="J183" s="17" t="n">
        <v>81600</v>
      </c>
    </row>
    <row r="184" customFormat="false" ht="15" hidden="false" customHeight="false" outlineLevel="0" collapsed="false">
      <c r="A184" s="15" t="n">
        <v>45992</v>
      </c>
      <c r="B184" s="16" t="s">
        <v>58</v>
      </c>
      <c r="C184" s="16" t="s">
        <v>59</v>
      </c>
      <c r="D184" s="16" t="s">
        <v>60</v>
      </c>
      <c r="E184" s="16"/>
      <c r="F184" s="16"/>
      <c r="G184" s="16"/>
      <c r="H184" s="16"/>
      <c r="I184" s="17" t="n">
        <v>62000</v>
      </c>
      <c r="J184" s="17" t="n">
        <v>59100</v>
      </c>
    </row>
    <row r="185" customFormat="false" ht="15" hidden="false" customHeight="false" outlineLevel="0" collapsed="false">
      <c r="A185" s="15" t="n">
        <v>45992</v>
      </c>
      <c r="B185" s="16" t="s">
        <v>61</v>
      </c>
      <c r="C185" s="16" t="s">
        <v>59</v>
      </c>
      <c r="D185" s="16" t="s">
        <v>62</v>
      </c>
      <c r="E185" s="16"/>
      <c r="F185" s="16"/>
      <c r="G185" s="16"/>
      <c r="H185" s="16"/>
      <c r="I185" s="17" t="n">
        <v>38000</v>
      </c>
      <c r="J185" s="17" t="n">
        <v>37600</v>
      </c>
    </row>
    <row r="186" customFormat="false" ht="15" hidden="false" customHeight="false" outlineLevel="0" collapsed="false">
      <c r="A186" s="15" t="n">
        <v>45992</v>
      </c>
      <c r="B186" s="16" t="s">
        <v>63</v>
      </c>
      <c r="C186" s="16" t="s">
        <v>59</v>
      </c>
      <c r="D186" s="16" t="s">
        <v>62</v>
      </c>
      <c r="E186" s="16"/>
      <c r="F186" s="16"/>
      <c r="G186" s="16"/>
      <c r="H186" s="16"/>
      <c r="I186" s="17" t="n">
        <v>14000</v>
      </c>
      <c r="J186" s="17" t="n">
        <v>10800</v>
      </c>
    </row>
    <row r="187" customFormat="false" ht="15" hidden="false" customHeight="false" outlineLevel="0" collapsed="false">
      <c r="A187" s="15" t="n">
        <v>45992</v>
      </c>
      <c r="B187" s="16" t="s">
        <v>64</v>
      </c>
      <c r="C187" s="16" t="s">
        <v>59</v>
      </c>
      <c r="D187" s="16" t="s">
        <v>60</v>
      </c>
      <c r="E187" s="16"/>
      <c r="F187" s="16"/>
      <c r="G187" s="16"/>
      <c r="H187" s="16"/>
      <c r="I187" s="17" t="n">
        <v>22000</v>
      </c>
      <c r="J187" s="17" t="n">
        <v>22000</v>
      </c>
    </row>
    <row r="188" customFormat="false" ht="15" hidden="false" customHeight="false" outlineLevel="0" collapsed="false">
      <c r="A188" s="15" t="n">
        <v>45992</v>
      </c>
      <c r="B188" s="16" t="s">
        <v>65</v>
      </c>
      <c r="C188" s="16" t="s">
        <v>59</v>
      </c>
      <c r="D188" s="16" t="s">
        <v>60</v>
      </c>
      <c r="E188" s="16"/>
      <c r="F188" s="16"/>
      <c r="G188" s="16"/>
      <c r="H188" s="16"/>
      <c r="I188" s="17" t="n">
        <v>5500</v>
      </c>
      <c r="J188" s="17" t="n">
        <v>6100</v>
      </c>
    </row>
    <row r="189" customFormat="false" ht="15" hidden="false" customHeight="false" outlineLevel="0" collapsed="false">
      <c r="A189" s="15" t="n">
        <v>45992</v>
      </c>
      <c r="B189" s="16" t="s">
        <v>66</v>
      </c>
      <c r="C189" s="16" t="s">
        <v>59</v>
      </c>
      <c r="D189" s="16" t="s">
        <v>67</v>
      </c>
      <c r="E189" s="16"/>
      <c r="F189" s="16"/>
      <c r="G189" s="16"/>
      <c r="H189" s="16"/>
      <c r="I189" s="17" t="n">
        <v>12000</v>
      </c>
      <c r="J189" s="17" t="n">
        <v>13600</v>
      </c>
    </row>
    <row r="190" customFormat="false" ht="15" hidden="false" customHeight="false" outlineLevel="0" collapsed="false">
      <c r="A190" s="15" t="n">
        <v>45992</v>
      </c>
      <c r="B190" s="16" t="s">
        <v>68</v>
      </c>
      <c r="C190" s="16" t="s">
        <v>59</v>
      </c>
      <c r="D190" s="16" t="s">
        <v>62</v>
      </c>
      <c r="E190" s="16"/>
      <c r="F190" s="16"/>
      <c r="G190" s="16"/>
      <c r="H190" s="16"/>
      <c r="I190" s="17" t="n">
        <v>6500</v>
      </c>
      <c r="J190" s="17" t="n">
        <v>5700</v>
      </c>
    </row>
    <row r="191" customFormat="false" ht="15" hidden="false" customHeight="false" outlineLevel="0" collapsed="false">
      <c r="A191" s="15" t="n">
        <v>45992</v>
      </c>
      <c r="B191" s="16" t="s">
        <v>69</v>
      </c>
      <c r="C191" s="16" t="s">
        <v>59</v>
      </c>
      <c r="D191" s="16" t="s">
        <v>60</v>
      </c>
      <c r="E191" s="16"/>
      <c r="F191" s="16"/>
      <c r="G191" s="16"/>
      <c r="H191" s="16"/>
      <c r="I191" s="17" t="n">
        <v>8000</v>
      </c>
      <c r="J191" s="17" t="n">
        <v>11000</v>
      </c>
    </row>
    <row r="192" customFormat="false" ht="15" hidden="false" customHeight="false" outlineLevel="0" collapsed="false">
      <c r="A192" s="15" t="n">
        <v>45992</v>
      </c>
      <c r="B192" s="16" t="s">
        <v>70</v>
      </c>
      <c r="C192" s="16" t="s">
        <v>59</v>
      </c>
      <c r="D192" s="16" t="s">
        <v>51</v>
      </c>
      <c r="E192" s="16"/>
      <c r="F192" s="16"/>
      <c r="G192" s="16"/>
      <c r="H192" s="16"/>
      <c r="I192" s="17" t="n">
        <v>26000</v>
      </c>
      <c r="J192" s="17" t="n">
        <v>27000</v>
      </c>
    </row>
    <row r="193" customFormat="false" ht="15" hidden="false" customHeight="false" outlineLevel="0" collapsed="false">
      <c r="A193" s="15" t="n">
        <v>45992</v>
      </c>
      <c r="B193" s="16" t="s">
        <v>71</v>
      </c>
      <c r="C193" s="16" t="s">
        <v>59</v>
      </c>
      <c r="D193" s="16" t="s">
        <v>60</v>
      </c>
      <c r="E193" s="16"/>
      <c r="F193" s="16"/>
      <c r="G193" s="16"/>
      <c r="H193" s="16"/>
      <c r="I193" s="17" t="n">
        <v>30000</v>
      </c>
      <c r="J193" s="17" t="n">
        <v>30000</v>
      </c>
    </row>
  </sheetData>
  <autoFilter ref="A1:J19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1"/>
    <col collapsed="false" customWidth="true" hidden="false" outlineLevel="0" max="5" min="3" style="0" width="15"/>
    <col collapsed="false" customWidth="true" hidden="false" outlineLevel="0" max="6" min="6" style="0" width="10"/>
    <col collapsed="false" customWidth="true" hidden="false" outlineLevel="0" max="7" min="7" style="0" width="7"/>
    <col collapsed="false" customWidth="true" hidden="false" outlineLevel="0" max="8" min="8" style="0" width="10"/>
    <col collapsed="false" customWidth="true" hidden="false" outlineLevel="0" max="9" min="9" style="0" width="70"/>
  </cols>
  <sheetData>
    <row r="1" customFormat="false" ht="16.15" hidden="false" customHeight="false" outlineLevel="0" collapsed="false">
      <c r="A1" s="19" t="s">
        <v>72</v>
      </c>
    </row>
    <row r="2" customFormat="false" ht="15" hidden="false" customHeight="false" outlineLevel="0" collapsed="false">
      <c r="A2" s="12" t="s">
        <v>73</v>
      </c>
    </row>
    <row r="4" customFormat="false" ht="15" hidden="false" customHeight="false" outlineLevel="0" collapsed="false">
      <c r="A4" s="10" t="s">
        <v>40</v>
      </c>
      <c r="B4" s="10" t="s">
        <v>41</v>
      </c>
      <c r="C4" s="10" t="s">
        <v>47</v>
      </c>
      <c r="D4" s="10" t="s">
        <v>48</v>
      </c>
      <c r="E4" s="10" t="s">
        <v>74</v>
      </c>
      <c r="F4" s="10" t="s">
        <v>75</v>
      </c>
      <c r="G4" s="10" t="s">
        <v>76</v>
      </c>
      <c r="H4" s="10" t="s">
        <v>77</v>
      </c>
      <c r="I4" s="10" t="s">
        <v>78</v>
      </c>
    </row>
    <row r="5" customFormat="false" ht="15" hidden="false" customHeight="false" outlineLevel="0" collapsed="false">
      <c r="A5" s="20" t="s">
        <v>50</v>
      </c>
      <c r="C5" s="21"/>
      <c r="D5" s="21"/>
      <c r="E5" s="21"/>
      <c r="F5" s="22"/>
    </row>
    <row r="6" customFormat="false" ht="26.85" hidden="false" customHeight="false" outlineLevel="0" collapsed="false">
      <c r="A6" s="23" t="s">
        <v>49</v>
      </c>
      <c r="B6" s="23" t="s">
        <v>50</v>
      </c>
      <c r="C6" s="24" t="n">
        <f aca="false">SUMIFS(Data!$I$2:$I$193,Data!$B$2:$B$193,$A6)</f>
        <v>5794850</v>
      </c>
      <c r="D6" s="24" t="n">
        <f aca="false">SUMIFS(Data!$J$2:$J$193,Data!$B$2:$B$193,$A6)</f>
        <v>5942980</v>
      </c>
      <c r="E6" s="24" t="n">
        <f aca="false">D6-C6</f>
        <v>148130</v>
      </c>
      <c r="F6" s="25" t="n">
        <f aca="false">IF(C6=0,0,E6/C6)</f>
        <v>0.0255623527787605</v>
      </c>
      <c r="G6" s="23" t="str">
        <f aca="false">IF(E6=0,"-",IF(B6="Revenue",IF(E6&gt;0,"F","U"),IF(E6&lt;0,"F","U")))</f>
        <v>F</v>
      </c>
      <c r="H6" s="23" t="str">
        <f aca="false">IF(AND(ABS(E6)&gt;=Assumptions!$B$3,ABS(F6)&gt;=Assumptions!$B$4),"Yes","No")</f>
        <v>No</v>
      </c>
      <c r="I6" s="26" t="s">
        <v>79</v>
      </c>
    </row>
    <row r="7" customFormat="false" ht="26.85" hidden="false" customHeight="false" outlineLevel="0" collapsed="false">
      <c r="A7" s="23" t="s">
        <v>52</v>
      </c>
      <c r="B7" s="23" t="s">
        <v>50</v>
      </c>
      <c r="C7" s="24" t="n">
        <f aca="false">SUMIFS(Data!$I$2:$I$193,Data!$B$2:$B$193,$A7)</f>
        <v>2121600</v>
      </c>
      <c r="D7" s="24" t="n">
        <f aca="false">SUMIFS(Data!$J$2:$J$193,Data!$B$2:$B$193,$A7)</f>
        <v>2059395</v>
      </c>
      <c r="E7" s="24" t="n">
        <f aca="false">D7-C7</f>
        <v>-62205</v>
      </c>
      <c r="F7" s="25" t="n">
        <f aca="false">IF(C7=0,0,E7/C7)</f>
        <v>-0.0293198529411765</v>
      </c>
      <c r="G7" s="23" t="str">
        <f aca="false">IF(E7=0,"-",IF(B7="Revenue",IF(E7&gt;0,"F","U"),IF(E7&lt;0,"F","U")))</f>
        <v>U</v>
      </c>
      <c r="H7" s="23" t="str">
        <f aca="false">IF(AND(ABS(E7)&gt;=Assumptions!$B$3,ABS(F7)&gt;=Assumptions!$B$4),"Yes","No")</f>
        <v>No</v>
      </c>
      <c r="I7" s="26" t="s">
        <v>80</v>
      </c>
    </row>
    <row r="8" customFormat="false" ht="26.85" hidden="false" customHeight="false" outlineLevel="0" collapsed="false">
      <c r="A8" s="23" t="s">
        <v>53</v>
      </c>
      <c r="B8" s="23" t="s">
        <v>50</v>
      </c>
      <c r="C8" s="24" t="n">
        <f aca="false">SUMIFS(Data!$I$2:$I$193,Data!$B$2:$B$193,$A8)</f>
        <v>2371200</v>
      </c>
      <c r="D8" s="24" t="n">
        <f aca="false">SUMIFS(Data!$J$2:$J$193,Data!$B$2:$B$193,$A8)</f>
        <v>2520733</v>
      </c>
      <c r="E8" s="24" t="n">
        <f aca="false">D8-C8</f>
        <v>149533</v>
      </c>
      <c r="F8" s="25" t="n">
        <f aca="false">IF(C8=0,0,E8/C8)</f>
        <v>0.0630621626180837</v>
      </c>
      <c r="G8" s="23" t="str">
        <f aca="false">IF(E8=0,"-",IF(B8="Revenue",IF(E8&gt;0,"F","U"),IF(E8&lt;0,"F","U")))</f>
        <v>F</v>
      </c>
      <c r="H8" s="23" t="str">
        <f aca="false">IF(AND(ABS(E8)&gt;=Assumptions!$B$3,ABS(F8)&gt;=Assumptions!$B$4),"Yes","No")</f>
        <v>Yes</v>
      </c>
      <c r="I8" s="26" t="s">
        <v>81</v>
      </c>
    </row>
    <row r="9" customFormat="false" ht="15" hidden="false" customHeight="false" outlineLevel="0" collapsed="false">
      <c r="A9" s="4" t="s">
        <v>82</v>
      </c>
      <c r="B9" s="27" t="s">
        <v>50</v>
      </c>
      <c r="C9" s="28" t="n">
        <f aca="false">SUM(C6:C8)</f>
        <v>10287650</v>
      </c>
      <c r="D9" s="28" t="n">
        <f aca="false">SUM(D6:D8)</f>
        <v>10523108</v>
      </c>
      <c r="E9" s="28" t="n">
        <f aca="false">SUM(E6:E8)</f>
        <v>235458</v>
      </c>
      <c r="F9" s="29" t="n">
        <f aca="false">IF(C9=0,0,E9/C9)</f>
        <v>0.0228874427104344</v>
      </c>
      <c r="G9" s="4" t="str">
        <f aca="false">IF(E9=0,"-",IF(B9="Revenue",IF(E9&gt;0,"F","U"),IF(E9&lt;0,"F","U")))</f>
        <v>F</v>
      </c>
    </row>
    <row r="10" customFormat="false" ht="15" hidden="false" customHeight="false" outlineLevel="0" collapsed="false">
      <c r="C10" s="21"/>
      <c r="D10" s="21"/>
      <c r="E10" s="21"/>
      <c r="F10" s="22"/>
    </row>
    <row r="11" customFormat="false" ht="15" hidden="false" customHeight="false" outlineLevel="0" collapsed="false">
      <c r="A11" s="20" t="s">
        <v>83</v>
      </c>
      <c r="C11" s="21"/>
      <c r="D11" s="21"/>
      <c r="E11" s="21"/>
      <c r="F11" s="22"/>
    </row>
    <row r="12" customFormat="false" ht="26.85" hidden="false" customHeight="false" outlineLevel="0" collapsed="false">
      <c r="A12" s="23" t="s">
        <v>54</v>
      </c>
      <c r="B12" s="23" t="s">
        <v>55</v>
      </c>
      <c r="C12" s="24" t="n">
        <f aca="false">SUMIFS(Data!$I$2:$I$193,Data!$B$2:$B$193,$A12)</f>
        <v>3086200</v>
      </c>
      <c r="D12" s="24" t="n">
        <f aca="false">SUMIFS(Data!$J$2:$J$193,Data!$B$2:$B$193,$A12)</f>
        <v>3314100</v>
      </c>
      <c r="E12" s="24" t="n">
        <f aca="false">D12-C12</f>
        <v>227900</v>
      </c>
      <c r="F12" s="25" t="n">
        <f aca="false">IF(C12=0,0,E12/C12)</f>
        <v>0.0738448577538721</v>
      </c>
      <c r="G12" s="23" t="str">
        <f aca="false">IF(E12=0,"-",IF(B12="Revenue",IF(E12&gt;0,"F","U"),IF(E12&lt;0,"F","U")))</f>
        <v>U</v>
      </c>
      <c r="H12" s="23" t="str">
        <f aca="false">IF(AND(ABS(E12)&gt;=Assumptions!$B$3,ABS(F12)&gt;=Assumptions!$B$4),"Yes","No")</f>
        <v>Yes</v>
      </c>
      <c r="I12" s="26" t="s">
        <v>84</v>
      </c>
    </row>
    <row r="13" customFormat="false" ht="15" hidden="false" customHeight="false" outlineLevel="0" collapsed="false">
      <c r="A13" s="23" t="s">
        <v>56</v>
      </c>
      <c r="B13" s="23" t="s">
        <v>55</v>
      </c>
      <c r="C13" s="24" t="n">
        <f aca="false">SUMIFS(Data!$I$2:$I$193,Data!$B$2:$B$193,$A13)</f>
        <v>926300</v>
      </c>
      <c r="D13" s="24" t="n">
        <f aca="false">SUMIFS(Data!$J$2:$J$193,Data!$B$2:$B$193,$A13)</f>
        <v>1070000</v>
      </c>
      <c r="E13" s="24" t="n">
        <f aca="false">D13-C13</f>
        <v>143700</v>
      </c>
      <c r="F13" s="25" t="n">
        <f aca="false">IF(C13=0,0,E13/C13)</f>
        <v>0.155133326136241</v>
      </c>
      <c r="G13" s="23" t="str">
        <f aca="false">IF(E13=0,"-",IF(B13="Revenue",IF(E13&gt;0,"F","U"),IF(E13&lt;0,"F","U")))</f>
        <v>U</v>
      </c>
      <c r="H13" s="23" t="str">
        <f aca="false">IF(AND(ABS(E13)&gt;=Assumptions!$B$3,ABS(F13)&gt;=Assumptions!$B$4),"Yes","No")</f>
        <v>Yes</v>
      </c>
      <c r="I13" s="26" t="s">
        <v>85</v>
      </c>
    </row>
    <row r="14" customFormat="false" ht="26.85" hidden="false" customHeight="false" outlineLevel="0" collapsed="false">
      <c r="A14" s="23" t="s">
        <v>57</v>
      </c>
      <c r="B14" s="23" t="s">
        <v>55</v>
      </c>
      <c r="C14" s="24" t="n">
        <f aca="false">SUMIFS(Data!$I$2:$I$193,Data!$B$2:$B$193,$A14)</f>
        <v>720100</v>
      </c>
      <c r="D14" s="24" t="n">
        <f aca="false">SUMIFS(Data!$J$2:$J$193,Data!$B$2:$B$193,$A14)</f>
        <v>913400</v>
      </c>
      <c r="E14" s="24" t="n">
        <f aca="false">D14-C14</f>
        <v>193300</v>
      </c>
      <c r="F14" s="25" t="n">
        <f aca="false">IF(C14=0,0,E14/C14)</f>
        <v>0.268434939591723</v>
      </c>
      <c r="G14" s="23" t="str">
        <f aca="false">IF(E14=0,"-",IF(B14="Revenue",IF(E14&gt;0,"F","U"),IF(E14&lt;0,"F","U")))</f>
        <v>U</v>
      </c>
      <c r="H14" s="23" t="str">
        <f aca="false">IF(AND(ABS(E14)&gt;=Assumptions!$B$3,ABS(F14)&gt;=Assumptions!$B$4),"Yes","No")</f>
        <v>Yes</v>
      </c>
      <c r="I14" s="26" t="s">
        <v>86</v>
      </c>
    </row>
    <row r="15" customFormat="false" ht="15" hidden="false" customHeight="false" outlineLevel="0" collapsed="false">
      <c r="A15" s="4" t="s">
        <v>87</v>
      </c>
      <c r="B15" s="27" t="s">
        <v>55</v>
      </c>
      <c r="C15" s="28" t="n">
        <f aca="false">SUM(C12:C14)</f>
        <v>4732600</v>
      </c>
      <c r="D15" s="28" t="n">
        <f aca="false">SUM(D12:D14)</f>
        <v>5297500</v>
      </c>
      <c r="E15" s="28" t="n">
        <f aca="false">SUM(E12:E14)</f>
        <v>564900</v>
      </c>
      <c r="F15" s="29" t="n">
        <f aca="false">IF(C15=0,0,E15/C15)</f>
        <v>0.119363563368973</v>
      </c>
      <c r="G15" s="4" t="str">
        <f aca="false">IF(E15=0,"-",IF(B15="Revenue",IF(E15&gt;0,"F","U"),IF(E15&lt;0,"F","U")))</f>
        <v>U</v>
      </c>
    </row>
    <row r="16" customFormat="false" ht="15" hidden="false" customHeight="false" outlineLevel="0" collapsed="false">
      <c r="C16" s="21"/>
      <c r="D16" s="21"/>
      <c r="E16" s="21"/>
      <c r="F16" s="22"/>
    </row>
    <row r="17" customFormat="false" ht="15" hidden="false" customHeight="false" outlineLevel="0" collapsed="false">
      <c r="A17" s="4" t="s">
        <v>88</v>
      </c>
      <c r="C17" s="30" t="n">
        <f aca="false">C9-C15</f>
        <v>5555050</v>
      </c>
      <c r="D17" s="30" t="n">
        <f aca="false">D9-D15</f>
        <v>5225608</v>
      </c>
      <c r="E17" s="30" t="n">
        <f aca="false">E9-E15</f>
        <v>-329442</v>
      </c>
      <c r="F17" s="31" t="n">
        <f aca="false">IF(C17=0,0,E17/C17)</f>
        <v>-0.0593049567510644</v>
      </c>
      <c r="G17" s="32" t="str">
        <f aca="false">IF(E17=0,"-",IF(E17&gt;0,"F","U"))</f>
        <v>U</v>
      </c>
    </row>
    <row r="18" customFormat="false" ht="15" hidden="false" customHeight="false" outlineLevel="0" collapsed="false">
      <c r="A18" s="32" t="s">
        <v>89</v>
      </c>
      <c r="C18" s="31" t="n">
        <f aca="false">IF(C9=0,0,C17/C9)</f>
        <v>0.539972685695956</v>
      </c>
      <c r="D18" s="31" t="n">
        <f aca="false">IF(D9=0,0,D17/D9)</f>
        <v>0.496584089035293</v>
      </c>
      <c r="E18" s="31" t="n">
        <f aca="false">D18-C18</f>
        <v>-0.0433885966606632</v>
      </c>
      <c r="F18" s="22"/>
    </row>
    <row r="19" customFormat="false" ht="15" hidden="false" customHeight="false" outlineLevel="0" collapsed="false">
      <c r="C19" s="21"/>
      <c r="D19" s="21"/>
      <c r="E19" s="21"/>
      <c r="F19" s="22"/>
    </row>
    <row r="20" customFormat="false" ht="15" hidden="false" customHeight="false" outlineLevel="0" collapsed="false">
      <c r="A20" s="20" t="s">
        <v>90</v>
      </c>
      <c r="C20" s="21"/>
      <c r="D20" s="21"/>
      <c r="E20" s="21"/>
      <c r="F20" s="22"/>
    </row>
    <row r="21" customFormat="false" ht="15" hidden="false" customHeight="false" outlineLevel="0" collapsed="false">
      <c r="A21" s="23" t="s">
        <v>58</v>
      </c>
      <c r="B21" s="23" t="s">
        <v>59</v>
      </c>
      <c r="C21" s="24" t="n">
        <f aca="false">SUMIFS(Data!$I$2:$I$193,Data!$B$2:$B$193,$A21)</f>
        <v>744000</v>
      </c>
      <c r="D21" s="24" t="n">
        <f aca="false">SUMIFS(Data!$J$2:$J$193,Data!$B$2:$B$193,$A21)</f>
        <v>750100</v>
      </c>
      <c r="E21" s="24" t="n">
        <f aca="false">D21-C21</f>
        <v>6100</v>
      </c>
      <c r="F21" s="25" t="n">
        <f aca="false">IF(C21=0,0,E21/C21)</f>
        <v>0.0081989247311828</v>
      </c>
      <c r="G21" s="23" t="str">
        <f aca="false">IF(E21=0,"-",IF(B21="Revenue",IF(E21&gt;0,"F","U"),IF(E21&lt;0,"F","U")))</f>
        <v>U</v>
      </c>
      <c r="H21" s="23" t="str">
        <f aca="false">IF(AND(ABS(E21)&gt;=Assumptions!$B$3,ABS(F21)&gt;=Assumptions!$B$4),"Yes","No")</f>
        <v>No</v>
      </c>
      <c r="I21" s="26" t="s">
        <v>91</v>
      </c>
    </row>
    <row r="22" customFormat="false" ht="15" hidden="false" customHeight="false" outlineLevel="0" collapsed="false">
      <c r="A22" s="23" t="s">
        <v>61</v>
      </c>
      <c r="B22" s="23" t="s">
        <v>59</v>
      </c>
      <c r="C22" s="24" t="n">
        <f aca="false">SUMIFS(Data!$I$2:$I$193,Data!$B$2:$B$193,$A22)</f>
        <v>456000</v>
      </c>
      <c r="D22" s="24" t="n">
        <f aca="false">SUMIFS(Data!$J$2:$J$193,Data!$B$2:$B$193,$A22)</f>
        <v>476300</v>
      </c>
      <c r="E22" s="24" t="n">
        <f aca="false">D22-C22</f>
        <v>20300</v>
      </c>
      <c r="F22" s="25" t="n">
        <f aca="false">IF(C22=0,0,E22/C22)</f>
        <v>0.0445175438596491</v>
      </c>
      <c r="G22" s="23" t="str">
        <f aca="false">IF(E22=0,"-",IF(B22="Revenue",IF(E22&gt;0,"F","U"),IF(E22&lt;0,"F","U")))</f>
        <v>U</v>
      </c>
      <c r="H22" s="23" t="str">
        <f aca="false">IF(AND(ABS(E22)&gt;=Assumptions!$B$3,ABS(F22)&gt;=Assumptions!$B$4),"Yes","No")</f>
        <v>No</v>
      </c>
      <c r="I22" s="26" t="s">
        <v>92</v>
      </c>
    </row>
    <row r="23" customFormat="false" ht="26.85" hidden="false" customHeight="false" outlineLevel="0" collapsed="false">
      <c r="A23" s="23" t="s">
        <v>63</v>
      </c>
      <c r="B23" s="23" t="s">
        <v>59</v>
      </c>
      <c r="C23" s="24" t="n">
        <f aca="false">SUMIFS(Data!$I$2:$I$193,Data!$B$2:$B$193,$A23)</f>
        <v>168000</v>
      </c>
      <c r="D23" s="24" t="n">
        <f aca="false">SUMIFS(Data!$J$2:$J$193,Data!$B$2:$B$193,$A23)</f>
        <v>146300</v>
      </c>
      <c r="E23" s="24" t="n">
        <f aca="false">D23-C23</f>
        <v>-21700</v>
      </c>
      <c r="F23" s="25" t="n">
        <f aca="false">IF(C23=0,0,E23/C23)</f>
        <v>-0.129166666666667</v>
      </c>
      <c r="G23" s="23" t="str">
        <f aca="false">IF(E23=0,"-",IF(B23="Revenue",IF(E23&gt;0,"F","U"),IF(E23&lt;0,"F","U")))</f>
        <v>F</v>
      </c>
      <c r="H23" s="23" t="str">
        <f aca="false">IF(AND(ABS(E23)&gt;=Assumptions!$B$3,ABS(F23)&gt;=Assumptions!$B$4),"Yes","No")</f>
        <v>No</v>
      </c>
      <c r="I23" s="26" t="s">
        <v>93</v>
      </c>
    </row>
    <row r="24" customFormat="false" ht="15" hidden="false" customHeight="false" outlineLevel="0" collapsed="false">
      <c r="A24" s="23" t="s">
        <v>64</v>
      </c>
      <c r="B24" s="23" t="s">
        <v>59</v>
      </c>
      <c r="C24" s="24" t="n">
        <f aca="false">SUMIFS(Data!$I$2:$I$193,Data!$B$2:$B$193,$A24)</f>
        <v>264000</v>
      </c>
      <c r="D24" s="24" t="n">
        <f aca="false">SUMIFS(Data!$J$2:$J$193,Data!$B$2:$B$193,$A24)</f>
        <v>264000</v>
      </c>
      <c r="E24" s="24" t="n">
        <f aca="false">D24-C24</f>
        <v>0</v>
      </c>
      <c r="F24" s="25" t="n">
        <f aca="false">IF(C24=0,0,E24/C24)</f>
        <v>0</v>
      </c>
      <c r="G24" s="23" t="str">
        <f aca="false">IF(E24=0,"-",IF(B24="Revenue",IF(E24&gt;0,"F","U"),IF(E24&lt;0,"F","U")))</f>
        <v>-</v>
      </c>
      <c r="H24" s="23" t="str">
        <f aca="false">IF(AND(ABS(E24)&gt;=Assumptions!$B$3,ABS(F24)&gt;=Assumptions!$B$4),"Yes","No")</f>
        <v>No</v>
      </c>
      <c r="I24" s="26" t="s">
        <v>94</v>
      </c>
    </row>
    <row r="25" customFormat="false" ht="15" hidden="false" customHeight="false" outlineLevel="0" collapsed="false">
      <c r="A25" s="23" t="s">
        <v>65</v>
      </c>
      <c r="B25" s="23" t="s">
        <v>59</v>
      </c>
      <c r="C25" s="24" t="n">
        <f aca="false">SUMIFS(Data!$I$2:$I$193,Data!$B$2:$B$193,$A25)</f>
        <v>66000</v>
      </c>
      <c r="D25" s="24" t="n">
        <f aca="false">SUMIFS(Data!$J$2:$J$193,Data!$B$2:$B$193,$A25)</f>
        <v>73300</v>
      </c>
      <c r="E25" s="24" t="n">
        <f aca="false">D25-C25</f>
        <v>7300</v>
      </c>
      <c r="F25" s="25" t="n">
        <f aca="false">IF(C25=0,0,E25/C25)</f>
        <v>0.110606060606061</v>
      </c>
      <c r="G25" s="23" t="str">
        <f aca="false">IF(E25=0,"-",IF(B25="Revenue",IF(E25&gt;0,"F","U"),IF(E25&lt;0,"F","U")))</f>
        <v>U</v>
      </c>
      <c r="H25" s="23" t="str">
        <f aca="false">IF(AND(ABS(E25)&gt;=Assumptions!$B$3,ABS(F25)&gt;=Assumptions!$B$4),"Yes","No")</f>
        <v>No</v>
      </c>
      <c r="I25" s="26" t="s">
        <v>95</v>
      </c>
    </row>
    <row r="26" customFormat="false" ht="15" hidden="false" customHeight="false" outlineLevel="0" collapsed="false">
      <c r="A26" s="23" t="s">
        <v>66</v>
      </c>
      <c r="B26" s="23" t="s">
        <v>59</v>
      </c>
      <c r="C26" s="24" t="n">
        <f aca="false">SUMIFS(Data!$I$2:$I$193,Data!$B$2:$B$193,$A26)</f>
        <v>144000</v>
      </c>
      <c r="D26" s="24" t="n">
        <f aca="false">SUMIFS(Data!$J$2:$J$193,Data!$B$2:$B$193,$A26)</f>
        <v>171500</v>
      </c>
      <c r="E26" s="24" t="n">
        <f aca="false">D26-C26</f>
        <v>27500</v>
      </c>
      <c r="F26" s="25" t="n">
        <f aca="false">IF(C26=0,0,E26/C26)</f>
        <v>0.190972222222222</v>
      </c>
      <c r="G26" s="23" t="str">
        <f aca="false">IF(E26=0,"-",IF(B26="Revenue",IF(E26&gt;0,"F","U"),IF(E26&lt;0,"F","U")))</f>
        <v>U</v>
      </c>
      <c r="H26" s="23" t="str">
        <f aca="false">IF(AND(ABS(E26)&gt;=Assumptions!$B$3,ABS(F26)&gt;=Assumptions!$B$4),"Yes","No")</f>
        <v>Yes</v>
      </c>
      <c r="I26" s="26" t="s">
        <v>96</v>
      </c>
    </row>
    <row r="27" customFormat="false" ht="15" hidden="false" customHeight="false" outlineLevel="0" collapsed="false">
      <c r="A27" s="23" t="s">
        <v>68</v>
      </c>
      <c r="B27" s="23" t="s">
        <v>59</v>
      </c>
      <c r="C27" s="24" t="n">
        <f aca="false">SUMIFS(Data!$I$2:$I$193,Data!$B$2:$B$193,$A27)</f>
        <v>78000</v>
      </c>
      <c r="D27" s="24" t="n">
        <f aca="false">SUMIFS(Data!$J$2:$J$193,Data!$B$2:$B$193,$A27)</f>
        <v>66000</v>
      </c>
      <c r="E27" s="24" t="n">
        <f aca="false">D27-C27</f>
        <v>-12000</v>
      </c>
      <c r="F27" s="25" t="n">
        <f aca="false">IF(C27=0,0,E27/C27)</f>
        <v>-0.153846153846154</v>
      </c>
      <c r="G27" s="23" t="str">
        <f aca="false">IF(E27=0,"-",IF(B27="Revenue",IF(E27&gt;0,"F","U"),IF(E27&lt;0,"F","U")))</f>
        <v>F</v>
      </c>
      <c r="H27" s="23" t="str">
        <f aca="false">IF(AND(ABS(E27)&gt;=Assumptions!$B$3,ABS(F27)&gt;=Assumptions!$B$4),"Yes","No")</f>
        <v>No</v>
      </c>
      <c r="I27" s="26" t="s">
        <v>97</v>
      </c>
    </row>
    <row r="28" customFormat="false" ht="15" hidden="false" customHeight="false" outlineLevel="0" collapsed="false">
      <c r="A28" s="23" t="s">
        <v>69</v>
      </c>
      <c r="B28" s="23" t="s">
        <v>59</v>
      </c>
      <c r="C28" s="24" t="n">
        <f aca="false">SUMIFS(Data!$I$2:$I$193,Data!$B$2:$B$193,$A28)</f>
        <v>96000</v>
      </c>
      <c r="D28" s="24" t="n">
        <f aca="false">SUMIFS(Data!$J$2:$J$193,Data!$B$2:$B$193,$A28)</f>
        <v>131200</v>
      </c>
      <c r="E28" s="24" t="n">
        <f aca="false">D28-C28</f>
        <v>35200</v>
      </c>
      <c r="F28" s="25" t="n">
        <f aca="false">IF(C28=0,0,E28/C28)</f>
        <v>0.366666666666667</v>
      </c>
      <c r="G28" s="23" t="str">
        <f aca="false">IF(E28=0,"-",IF(B28="Revenue",IF(E28&gt;0,"F","U"),IF(E28&lt;0,"F","U")))</f>
        <v>U</v>
      </c>
      <c r="H28" s="23" t="str">
        <f aca="false">IF(AND(ABS(E28)&gt;=Assumptions!$B$3,ABS(F28)&gt;=Assumptions!$B$4),"Yes","No")</f>
        <v>Yes</v>
      </c>
      <c r="I28" s="26" t="s">
        <v>98</v>
      </c>
    </row>
    <row r="29" customFormat="false" ht="15" hidden="false" customHeight="false" outlineLevel="0" collapsed="false">
      <c r="A29" s="23" t="s">
        <v>70</v>
      </c>
      <c r="B29" s="23" t="s">
        <v>59</v>
      </c>
      <c r="C29" s="24" t="n">
        <f aca="false">SUMIFS(Data!$I$2:$I$193,Data!$B$2:$B$193,$A29)</f>
        <v>312000</v>
      </c>
      <c r="D29" s="24" t="n">
        <f aca="false">SUMIFS(Data!$J$2:$J$193,Data!$B$2:$B$193,$A29)</f>
        <v>341300</v>
      </c>
      <c r="E29" s="24" t="n">
        <f aca="false">D29-C29</f>
        <v>29300</v>
      </c>
      <c r="F29" s="25" t="n">
        <f aca="false">IF(C29=0,0,E29/C29)</f>
        <v>0.0939102564102564</v>
      </c>
      <c r="G29" s="23" t="str">
        <f aca="false">IF(E29=0,"-",IF(B29="Revenue",IF(E29&gt;0,"F","U"),IF(E29&lt;0,"F","U")))</f>
        <v>U</v>
      </c>
      <c r="H29" s="23" t="str">
        <f aca="false">IF(AND(ABS(E29)&gt;=Assumptions!$B$3,ABS(F29)&gt;=Assumptions!$B$4),"Yes","No")</f>
        <v>Yes</v>
      </c>
      <c r="I29" s="26" t="s">
        <v>99</v>
      </c>
    </row>
    <row r="30" customFormat="false" ht="15" hidden="false" customHeight="false" outlineLevel="0" collapsed="false">
      <c r="A30" s="23" t="s">
        <v>71</v>
      </c>
      <c r="B30" s="23" t="s">
        <v>59</v>
      </c>
      <c r="C30" s="24" t="n">
        <f aca="false">SUMIFS(Data!$I$2:$I$193,Data!$B$2:$B$193,$A30)</f>
        <v>360000</v>
      </c>
      <c r="D30" s="24" t="n">
        <f aca="false">SUMIFS(Data!$J$2:$J$193,Data!$B$2:$B$193,$A30)</f>
        <v>360000</v>
      </c>
      <c r="E30" s="24" t="n">
        <f aca="false">D30-C30</f>
        <v>0</v>
      </c>
      <c r="F30" s="25" t="n">
        <f aca="false">IF(C30=0,0,E30/C30)</f>
        <v>0</v>
      </c>
      <c r="G30" s="23" t="str">
        <f aca="false">IF(E30=0,"-",IF(B30="Revenue",IF(E30&gt;0,"F","U"),IF(E30&lt;0,"F","U")))</f>
        <v>-</v>
      </c>
      <c r="H30" s="23" t="str">
        <f aca="false">IF(AND(ABS(E30)&gt;=Assumptions!$B$3,ABS(F30)&gt;=Assumptions!$B$4),"Yes","No")</f>
        <v>No</v>
      </c>
      <c r="I30" s="26" t="s">
        <v>100</v>
      </c>
    </row>
    <row r="31" customFormat="false" ht="15" hidden="false" customHeight="false" outlineLevel="0" collapsed="false">
      <c r="A31" s="4" t="s">
        <v>101</v>
      </c>
      <c r="B31" s="27" t="s">
        <v>59</v>
      </c>
      <c r="C31" s="28" t="n">
        <f aca="false">SUM(C21:C30)</f>
        <v>2688000</v>
      </c>
      <c r="D31" s="28" t="n">
        <f aca="false">SUM(D21:D30)</f>
        <v>2780000</v>
      </c>
      <c r="E31" s="28" t="n">
        <f aca="false">SUM(E21:E30)</f>
        <v>92000</v>
      </c>
      <c r="F31" s="29" t="n">
        <f aca="false">IF(C31=0,0,E31/C31)</f>
        <v>0.0342261904761905</v>
      </c>
      <c r="G31" s="4" t="str">
        <f aca="false">IF(E31=0,"-",IF(B31="Revenue",IF(E31&gt;0,"F","U"),IF(E31&lt;0,"F","U")))</f>
        <v>U</v>
      </c>
    </row>
    <row r="32" customFormat="false" ht="15" hidden="false" customHeight="false" outlineLevel="0" collapsed="false">
      <c r="C32" s="21"/>
      <c r="D32" s="21"/>
      <c r="E32" s="21"/>
      <c r="F32" s="22"/>
    </row>
    <row r="33" customFormat="false" ht="15" hidden="false" customHeight="false" outlineLevel="0" collapsed="false">
      <c r="A33" s="4" t="s">
        <v>102</v>
      </c>
      <c r="C33" s="30" t="n">
        <f aca="false">C17-C31</f>
        <v>2867050</v>
      </c>
      <c r="D33" s="30" t="n">
        <f aca="false">D17-D31</f>
        <v>2445608</v>
      </c>
      <c r="E33" s="30" t="n">
        <f aca="false">E17-E31</f>
        <v>-421442</v>
      </c>
      <c r="F33" s="31" t="n">
        <f aca="false">IF(C33=0,0,E33/C33)</f>
        <v>-0.146994994855339</v>
      </c>
      <c r="G33" s="32" t="str">
        <f aca="false">IF(E33=0,"-",IF(E33&gt;0,"F","U"))</f>
        <v>U</v>
      </c>
    </row>
    <row r="34" customFormat="false" ht="15" hidden="false" customHeight="false" outlineLevel="0" collapsed="false">
      <c r="A34" s="32" t="s">
        <v>103</v>
      </c>
      <c r="C34" s="31" t="n">
        <f aca="false">IF(C9=0,0,C33/C9)</f>
        <v>0.278688524590164</v>
      </c>
      <c r="D34" s="31" t="n">
        <f aca="false">IF(D9=0,0,D33/D9)</f>
        <v>0.232403582667782</v>
      </c>
      <c r="E34" s="31" t="n">
        <f aca="false">D34-C34</f>
        <v>-0.0462849419223817</v>
      </c>
      <c r="F34" s="22"/>
    </row>
  </sheetData>
  <conditionalFormatting sqref="G5:G34">
    <cfRule type="cellIs" priority="2" operator="equal" aboveAverage="0" equalAverage="0" bottom="0" percent="0" rank="0" text="" dxfId="4">
      <formula>"U"</formula>
    </cfRule>
    <cfRule type="cellIs" priority="3" operator="equal" aboveAverage="0" equalAverage="0" bottom="0" percent="0" rank="0" text="" dxfId="5">
      <formula>"F"</formula>
    </cfRule>
  </conditionalFormatting>
  <conditionalFormatting sqref="H5:H34">
    <cfRule type="cellIs" priority="4" operator="equal" aboveAverage="0" equalAverage="0" bottom="0" percent="0" rank="0" text="" dxfId="6">
      <formula>"Yes"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9" min="2" style="0" width="14"/>
    <col collapsed="false" customWidth="true" hidden="false" outlineLevel="0" max="10" min="10" style="0" width="10"/>
  </cols>
  <sheetData>
    <row r="1" customFormat="false" ht="16.15" hidden="false" customHeight="false" outlineLevel="0" collapsed="false">
      <c r="A1" s="19" t="s">
        <v>104</v>
      </c>
    </row>
    <row r="3" customFormat="false" ht="26.85" hidden="false" customHeight="false" outlineLevel="0" collapsed="false">
      <c r="A3" s="10" t="s">
        <v>39</v>
      </c>
      <c r="B3" s="10" t="s">
        <v>105</v>
      </c>
      <c r="C3" s="10" t="s">
        <v>106</v>
      </c>
      <c r="D3" s="10" t="s">
        <v>107</v>
      </c>
      <c r="E3" s="10" t="s">
        <v>108</v>
      </c>
      <c r="F3" s="10" t="s">
        <v>109</v>
      </c>
      <c r="G3" s="10" t="s">
        <v>110</v>
      </c>
      <c r="H3" s="10" t="s">
        <v>111</v>
      </c>
      <c r="I3" s="10" t="s">
        <v>112</v>
      </c>
      <c r="J3" s="10" t="s">
        <v>113</v>
      </c>
    </row>
    <row r="4" customFormat="false" ht="15" hidden="false" customHeight="false" outlineLevel="0" collapsed="false">
      <c r="A4" s="15" t="n">
        <v>45658</v>
      </c>
      <c r="B4" s="24" t="n">
        <f aca="false">SUMIFS(Data!$I$2:$I$193,Data!$A$2:$A$193,$A4,Data!$C$2:$C$193,"Revenue")</f>
        <v>727230</v>
      </c>
      <c r="C4" s="24" t="n">
        <f aca="false">SUMIFS(Data!$J$2:$J$193,Data!$A$2:$A$193,$A4,Data!$C$2:$C$193,"Revenue")</f>
        <v>765590</v>
      </c>
      <c r="D4" s="24" t="n">
        <f aca="false">SUMIFS(Data!$I$2:$I$193,Data!$A$2:$A$193,$A4,Data!$C$2:$C$193,"&lt;&gt;Revenue")</f>
        <v>558600</v>
      </c>
      <c r="E4" s="24" t="n">
        <f aca="false">SUMIFS(Data!$J$2:$J$193,Data!$A$2:$A$193,$A4,Data!$C$2:$C$193,"&lt;&gt;Revenue")</f>
        <v>610200</v>
      </c>
      <c r="F4" s="24" t="n">
        <f aca="false">B4-D4</f>
        <v>168630</v>
      </c>
      <c r="G4" s="24" t="n">
        <f aca="false">C4-E4</f>
        <v>155390</v>
      </c>
      <c r="H4" s="24" t="n">
        <f aca="false">G4-F4</f>
        <v>-13240</v>
      </c>
      <c r="I4" s="24" t="n">
        <f aca="false">H4</f>
        <v>-13240</v>
      </c>
      <c r="J4" s="25" t="n">
        <f aca="false">IF(F4=0,0,H4/F4)</f>
        <v>-0.0785150922137224</v>
      </c>
    </row>
    <row r="5" customFormat="false" ht="15" hidden="false" customHeight="false" outlineLevel="0" collapsed="false">
      <c r="A5" s="15" t="n">
        <v>45689</v>
      </c>
      <c r="B5" s="24" t="n">
        <f aca="false">SUMIFS(Data!$I$2:$I$193,Data!$A$2:$A$193,$A5,Data!$C$2:$C$193,"Revenue")</f>
        <v>752820</v>
      </c>
      <c r="C5" s="24" t="n">
        <f aca="false">SUMIFS(Data!$J$2:$J$193,Data!$A$2:$A$193,$A5,Data!$C$2:$C$193,"Revenue")</f>
        <v>746283</v>
      </c>
      <c r="D5" s="24" t="n">
        <f aca="false">SUMIFS(Data!$I$2:$I$193,Data!$A$2:$A$193,$A5,Data!$C$2:$C$193,"&lt;&gt;Revenue")</f>
        <v>570300</v>
      </c>
      <c r="E5" s="24" t="n">
        <f aca="false">SUMIFS(Data!$J$2:$J$193,Data!$A$2:$A$193,$A5,Data!$C$2:$C$193,"&lt;&gt;Revenue")</f>
        <v>598300</v>
      </c>
      <c r="F5" s="24" t="n">
        <f aca="false">B5-D5</f>
        <v>182520</v>
      </c>
      <c r="G5" s="24" t="n">
        <f aca="false">C5-E5</f>
        <v>147983</v>
      </c>
      <c r="H5" s="24" t="n">
        <f aca="false">G5-F5</f>
        <v>-34537</v>
      </c>
      <c r="I5" s="24" t="n">
        <f aca="false">I4+H5</f>
        <v>-47777</v>
      </c>
      <c r="J5" s="25" t="n">
        <f aca="false">IF(F5=0,0,H5/F5)</f>
        <v>-0.189223098838483</v>
      </c>
    </row>
    <row r="6" customFormat="false" ht="15" hidden="false" customHeight="false" outlineLevel="0" collapsed="false">
      <c r="A6" s="15" t="n">
        <v>45717</v>
      </c>
      <c r="B6" s="24" t="n">
        <f aca="false">SUMIFS(Data!$I$2:$I$193,Data!$A$2:$A$193,$A6,Data!$C$2:$C$193,"Revenue")</f>
        <v>831810</v>
      </c>
      <c r="C6" s="24" t="n">
        <f aca="false">SUMIFS(Data!$J$2:$J$193,Data!$A$2:$A$193,$A6,Data!$C$2:$C$193,"Revenue")</f>
        <v>853402</v>
      </c>
      <c r="D6" s="24" t="n">
        <f aca="false">SUMIFS(Data!$I$2:$I$193,Data!$A$2:$A$193,$A6,Data!$C$2:$C$193,"&lt;&gt;Revenue")</f>
        <v>606600</v>
      </c>
      <c r="E6" s="24" t="n">
        <f aca="false">SUMIFS(Data!$J$2:$J$193,Data!$A$2:$A$193,$A6,Data!$C$2:$C$193,"&lt;&gt;Revenue")</f>
        <v>660500</v>
      </c>
      <c r="F6" s="24" t="n">
        <f aca="false">B6-D6</f>
        <v>225210</v>
      </c>
      <c r="G6" s="24" t="n">
        <f aca="false">C6-E6</f>
        <v>192902</v>
      </c>
      <c r="H6" s="24" t="n">
        <f aca="false">G6-F6</f>
        <v>-32308</v>
      </c>
      <c r="I6" s="24" t="n">
        <f aca="false">I5+H6</f>
        <v>-80085</v>
      </c>
      <c r="J6" s="25" t="n">
        <f aca="false">IF(F6=0,0,H6/F6)</f>
        <v>-0.143457217707917</v>
      </c>
    </row>
    <row r="7" customFormat="false" ht="15" hidden="false" customHeight="false" outlineLevel="0" collapsed="false">
      <c r="A7" s="15" t="n">
        <v>45748</v>
      </c>
      <c r="B7" s="24" t="n">
        <f aca="false">SUMIFS(Data!$I$2:$I$193,Data!$A$2:$A$193,$A7,Data!$C$2:$C$193,"Revenue")</f>
        <v>857400</v>
      </c>
      <c r="C7" s="24" t="n">
        <f aca="false">SUMIFS(Data!$J$2:$J$193,Data!$A$2:$A$193,$A7,Data!$C$2:$C$193,"Revenue")</f>
        <v>861651</v>
      </c>
      <c r="D7" s="24" t="n">
        <f aca="false">SUMIFS(Data!$I$2:$I$193,Data!$A$2:$A$193,$A7,Data!$C$2:$C$193,"&lt;&gt;Revenue")</f>
        <v>618400</v>
      </c>
      <c r="E7" s="24" t="n">
        <f aca="false">SUMIFS(Data!$J$2:$J$193,Data!$A$2:$A$193,$A7,Data!$C$2:$C$193,"&lt;&gt;Revenue")</f>
        <v>656400</v>
      </c>
      <c r="F7" s="24" t="n">
        <f aca="false">B7-D7</f>
        <v>239000</v>
      </c>
      <c r="G7" s="24" t="n">
        <f aca="false">C7-E7</f>
        <v>205251</v>
      </c>
      <c r="H7" s="24" t="n">
        <f aca="false">G7-F7</f>
        <v>-33749</v>
      </c>
      <c r="I7" s="24" t="n">
        <f aca="false">I6+H7</f>
        <v>-113834</v>
      </c>
      <c r="J7" s="25" t="n">
        <f aca="false">IF(F7=0,0,H7/F7)</f>
        <v>-0.141209205020921</v>
      </c>
    </row>
    <row r="8" customFormat="false" ht="15" hidden="false" customHeight="false" outlineLevel="0" collapsed="false">
      <c r="A8" s="15" t="n">
        <v>45778</v>
      </c>
      <c r="B8" s="24" t="n">
        <f aca="false">SUMIFS(Data!$I$2:$I$193,Data!$A$2:$A$193,$A8,Data!$C$2:$C$193,"Revenue")</f>
        <v>900790</v>
      </c>
      <c r="C8" s="24" t="n">
        <f aca="false">SUMIFS(Data!$J$2:$J$193,Data!$A$2:$A$193,$A8,Data!$C$2:$C$193,"Revenue")</f>
        <v>910845</v>
      </c>
      <c r="D8" s="24" t="n">
        <f aca="false">SUMIFS(Data!$I$2:$I$193,Data!$A$2:$A$193,$A8,Data!$C$2:$C$193,"&lt;&gt;Revenue")</f>
        <v>638400</v>
      </c>
      <c r="E8" s="24" t="n">
        <f aca="false">SUMIFS(Data!$J$2:$J$193,Data!$A$2:$A$193,$A8,Data!$C$2:$C$193,"&lt;&gt;Revenue")</f>
        <v>685300</v>
      </c>
      <c r="F8" s="24" t="n">
        <f aca="false">B8-D8</f>
        <v>262390</v>
      </c>
      <c r="G8" s="24" t="n">
        <f aca="false">C8-E8</f>
        <v>225545</v>
      </c>
      <c r="H8" s="24" t="n">
        <f aca="false">G8-F8</f>
        <v>-36845</v>
      </c>
      <c r="I8" s="24" t="n">
        <f aca="false">I7+H8</f>
        <v>-150679</v>
      </c>
      <c r="J8" s="25" t="n">
        <f aca="false">IF(F8=0,0,H8/F8)</f>
        <v>-0.140420747741911</v>
      </c>
    </row>
    <row r="9" customFormat="false" ht="15" hidden="false" customHeight="false" outlineLevel="0" collapsed="false">
      <c r="A9" s="15" t="n">
        <v>45809</v>
      </c>
      <c r="B9" s="24" t="n">
        <f aca="false">SUMIFS(Data!$I$2:$I$193,Data!$A$2:$A$193,$A9,Data!$C$2:$C$193,"Revenue")</f>
        <v>926380</v>
      </c>
      <c r="C9" s="24" t="n">
        <f aca="false">SUMIFS(Data!$J$2:$J$193,Data!$A$2:$A$193,$A9,Data!$C$2:$C$193,"Revenue")</f>
        <v>956600</v>
      </c>
      <c r="D9" s="24" t="n">
        <f aca="false">SUMIFS(Data!$I$2:$I$193,Data!$A$2:$A$193,$A9,Data!$C$2:$C$193,"&lt;&gt;Revenue")</f>
        <v>650100</v>
      </c>
      <c r="E9" s="24" t="n">
        <f aca="false">SUMIFS(Data!$J$2:$J$193,Data!$A$2:$A$193,$A9,Data!$C$2:$C$193,"&lt;&gt;Revenue")</f>
        <v>699200</v>
      </c>
      <c r="F9" s="24" t="n">
        <f aca="false">B9-D9</f>
        <v>276280</v>
      </c>
      <c r="G9" s="24" t="n">
        <f aca="false">C9-E9</f>
        <v>257400</v>
      </c>
      <c r="H9" s="24" t="n">
        <f aca="false">G9-F9</f>
        <v>-18880</v>
      </c>
      <c r="I9" s="24" t="n">
        <f aca="false">I8+H9</f>
        <v>-169559</v>
      </c>
      <c r="J9" s="25" t="n">
        <f aca="false">IF(F9=0,0,H9/F9)</f>
        <v>-0.0683364702475749</v>
      </c>
    </row>
    <row r="10" customFormat="false" ht="15" hidden="false" customHeight="false" outlineLevel="0" collapsed="false">
      <c r="A10" s="15" t="n">
        <v>45839</v>
      </c>
      <c r="B10" s="24" t="n">
        <f aca="false">SUMIFS(Data!$I$2:$I$193,Data!$A$2:$A$193,$A10,Data!$C$2:$C$193,"Revenue")</f>
        <v>814010</v>
      </c>
      <c r="C10" s="24" t="n">
        <f aca="false">SUMIFS(Data!$J$2:$J$193,Data!$A$2:$A$193,$A10,Data!$C$2:$C$193,"Revenue")</f>
        <v>819719</v>
      </c>
      <c r="D10" s="24" t="n">
        <f aca="false">SUMIFS(Data!$I$2:$I$193,Data!$A$2:$A$193,$A10,Data!$C$2:$C$193,"&lt;&gt;Revenue")</f>
        <v>598500</v>
      </c>
      <c r="E10" s="24" t="n">
        <f aca="false">SUMIFS(Data!$J$2:$J$193,Data!$A$2:$A$193,$A10,Data!$C$2:$C$193,"&lt;&gt;Revenue")</f>
        <v>635800</v>
      </c>
      <c r="F10" s="24" t="n">
        <f aca="false">B10-D10</f>
        <v>215510</v>
      </c>
      <c r="G10" s="24" t="n">
        <f aca="false">C10-E10</f>
        <v>183919</v>
      </c>
      <c r="H10" s="24" t="n">
        <f aca="false">G10-F10</f>
        <v>-31591</v>
      </c>
      <c r="I10" s="24" t="n">
        <f aca="false">I9+H10</f>
        <v>-201150</v>
      </c>
      <c r="J10" s="25" t="n">
        <f aca="false">IF(F10=0,0,H10/F10)</f>
        <v>-0.146587165328755</v>
      </c>
    </row>
    <row r="11" customFormat="false" ht="15" hidden="false" customHeight="false" outlineLevel="0" collapsed="false">
      <c r="A11" s="15" t="n">
        <v>45870</v>
      </c>
      <c r="B11" s="24" t="n">
        <f aca="false">SUMIFS(Data!$I$2:$I$193,Data!$A$2:$A$193,$A11,Data!$C$2:$C$193,"Revenue")</f>
        <v>788420</v>
      </c>
      <c r="C11" s="24" t="n">
        <f aca="false">SUMIFS(Data!$J$2:$J$193,Data!$A$2:$A$193,$A11,Data!$C$2:$C$193,"Revenue")</f>
        <v>800726</v>
      </c>
      <c r="D11" s="24" t="n">
        <f aca="false">SUMIFS(Data!$I$2:$I$193,Data!$A$2:$A$193,$A11,Data!$C$2:$C$193,"&lt;&gt;Revenue")</f>
        <v>586700</v>
      </c>
      <c r="E11" s="24" t="n">
        <f aca="false">SUMIFS(Data!$J$2:$J$193,Data!$A$2:$A$193,$A11,Data!$C$2:$C$193,"&lt;&gt;Revenue")</f>
        <v>646200</v>
      </c>
      <c r="F11" s="24" t="n">
        <f aca="false">B11-D11</f>
        <v>201720</v>
      </c>
      <c r="G11" s="24" t="n">
        <f aca="false">C11-E11</f>
        <v>154526</v>
      </c>
      <c r="H11" s="24" t="n">
        <f aca="false">G11-F11</f>
        <v>-47194</v>
      </c>
      <c r="I11" s="24" t="n">
        <f aca="false">I10+H11</f>
        <v>-248344</v>
      </c>
      <c r="J11" s="25" t="n">
        <f aca="false">IF(F11=0,0,H11/F11)</f>
        <v>-0.233957961530835</v>
      </c>
    </row>
    <row r="12" customFormat="false" ht="15" hidden="false" customHeight="false" outlineLevel="0" collapsed="false">
      <c r="A12" s="15" t="n">
        <v>45901</v>
      </c>
      <c r="B12" s="24" t="n">
        <f aca="false">SUMIFS(Data!$I$2:$I$193,Data!$A$2:$A$193,$A12,Data!$C$2:$C$193,"Revenue")</f>
        <v>907430</v>
      </c>
      <c r="C12" s="24" t="n">
        <f aca="false">SUMIFS(Data!$J$2:$J$193,Data!$A$2:$A$193,$A12,Data!$C$2:$C$193,"Revenue")</f>
        <v>944480</v>
      </c>
      <c r="D12" s="24" t="n">
        <f aca="false">SUMIFS(Data!$I$2:$I$193,Data!$A$2:$A$193,$A12,Data!$C$2:$C$193,"&lt;&gt;Revenue")</f>
        <v>641400</v>
      </c>
      <c r="E12" s="24" t="n">
        <f aca="false">SUMIFS(Data!$J$2:$J$193,Data!$A$2:$A$193,$A12,Data!$C$2:$C$193,"&lt;&gt;Revenue")</f>
        <v>719200</v>
      </c>
      <c r="F12" s="24" t="n">
        <f aca="false">B12-D12</f>
        <v>266030</v>
      </c>
      <c r="G12" s="24" t="n">
        <f aca="false">C12-E12</f>
        <v>225280</v>
      </c>
      <c r="H12" s="24" t="n">
        <f aca="false">G12-F12</f>
        <v>-40750</v>
      </c>
      <c r="I12" s="24" t="n">
        <f aca="false">I11+H12</f>
        <v>-289094</v>
      </c>
      <c r="J12" s="25" t="n">
        <f aca="false">IF(F12=0,0,H12/F12)</f>
        <v>-0.153178212983498</v>
      </c>
    </row>
    <row r="13" customFormat="false" ht="15" hidden="false" customHeight="false" outlineLevel="0" collapsed="false">
      <c r="A13" s="15" t="n">
        <v>45931</v>
      </c>
      <c r="B13" s="24" t="n">
        <f aca="false">SUMIFS(Data!$I$2:$I$193,Data!$A$2:$A$193,$A13,Data!$C$2:$C$193,"Revenue")</f>
        <v>944180</v>
      </c>
      <c r="C13" s="24" t="n">
        <f aca="false">SUMIFS(Data!$J$2:$J$193,Data!$A$2:$A$193,$A13,Data!$C$2:$C$193,"Revenue")</f>
        <v>982631</v>
      </c>
      <c r="D13" s="24" t="n">
        <f aca="false">SUMIFS(Data!$I$2:$I$193,Data!$A$2:$A$193,$A13,Data!$C$2:$C$193,"&lt;&gt;Revenue")</f>
        <v>658400</v>
      </c>
      <c r="E13" s="24" t="n">
        <f aca="false">SUMIFS(Data!$J$2:$J$193,Data!$A$2:$A$193,$A13,Data!$C$2:$C$193,"&lt;&gt;Revenue")</f>
        <v>732700</v>
      </c>
      <c r="F13" s="24" t="n">
        <f aca="false">B13-D13</f>
        <v>285780</v>
      </c>
      <c r="G13" s="24" t="n">
        <f aca="false">C13-E13</f>
        <v>249931</v>
      </c>
      <c r="H13" s="24" t="n">
        <f aca="false">G13-F13</f>
        <v>-35849</v>
      </c>
      <c r="I13" s="24" t="n">
        <f aca="false">I12+H13</f>
        <v>-324943</v>
      </c>
      <c r="J13" s="25" t="n">
        <f aca="false">IF(F13=0,0,H13/F13)</f>
        <v>-0.125442648190916</v>
      </c>
    </row>
    <row r="14" customFormat="false" ht="15" hidden="false" customHeight="false" outlineLevel="0" collapsed="false">
      <c r="A14" s="15" t="n">
        <v>45962</v>
      </c>
      <c r="B14" s="24" t="n">
        <f aca="false">SUMIFS(Data!$I$2:$I$193,Data!$A$2:$A$193,$A14,Data!$C$2:$C$193,"Revenue")</f>
        <v>918590</v>
      </c>
      <c r="C14" s="24" t="n">
        <f aca="false">SUMIFS(Data!$J$2:$J$193,Data!$A$2:$A$193,$A14,Data!$C$2:$C$193,"Revenue")</f>
        <v>964900</v>
      </c>
      <c r="D14" s="24" t="n">
        <f aca="false">SUMIFS(Data!$I$2:$I$193,Data!$A$2:$A$193,$A14,Data!$C$2:$C$193,"&lt;&gt;Revenue")</f>
        <v>646600</v>
      </c>
      <c r="E14" s="24" t="n">
        <f aca="false">SUMIFS(Data!$J$2:$J$193,Data!$A$2:$A$193,$A14,Data!$C$2:$C$193,"&lt;&gt;Revenue")</f>
        <v>740800</v>
      </c>
      <c r="F14" s="24" t="n">
        <f aca="false">B14-D14</f>
        <v>271990</v>
      </c>
      <c r="G14" s="24" t="n">
        <f aca="false">C14-E14</f>
        <v>224100</v>
      </c>
      <c r="H14" s="24" t="n">
        <f aca="false">G14-F14</f>
        <v>-47890</v>
      </c>
      <c r="I14" s="24" t="n">
        <f aca="false">I13+H14</f>
        <v>-372833</v>
      </c>
      <c r="J14" s="25" t="n">
        <f aca="false">IF(F14=0,0,H14/F14)</f>
        <v>-0.176072649729769</v>
      </c>
    </row>
    <row r="15" customFormat="false" ht="15" hidden="false" customHeight="false" outlineLevel="0" collapsed="false">
      <c r="A15" s="15" t="n">
        <v>45992</v>
      </c>
      <c r="B15" s="24" t="n">
        <f aca="false">SUMIFS(Data!$I$2:$I$193,Data!$A$2:$A$193,$A15,Data!$C$2:$C$193,"Revenue")</f>
        <v>918590</v>
      </c>
      <c r="C15" s="24" t="n">
        <f aca="false">SUMIFS(Data!$J$2:$J$193,Data!$A$2:$A$193,$A15,Data!$C$2:$C$193,"Revenue")</f>
        <v>916281</v>
      </c>
      <c r="D15" s="24" t="n">
        <f aca="false">SUMIFS(Data!$I$2:$I$193,Data!$A$2:$A$193,$A15,Data!$C$2:$C$193,"&lt;&gt;Revenue")</f>
        <v>646600</v>
      </c>
      <c r="E15" s="24" t="n">
        <f aca="false">SUMIFS(Data!$J$2:$J$193,Data!$A$2:$A$193,$A15,Data!$C$2:$C$193,"&lt;&gt;Revenue")</f>
        <v>692900</v>
      </c>
      <c r="F15" s="24" t="n">
        <f aca="false">B15-D15</f>
        <v>271990</v>
      </c>
      <c r="G15" s="24" t="n">
        <f aca="false">C15-E15</f>
        <v>223381</v>
      </c>
      <c r="H15" s="24" t="n">
        <f aca="false">G15-F15</f>
        <v>-48609</v>
      </c>
      <c r="I15" s="24" t="n">
        <f aca="false">I14+H15</f>
        <v>-421442</v>
      </c>
      <c r="J15" s="25" t="n">
        <f aca="false">IF(F15=0,0,H15/F15)</f>
        <v>-0.178716129269458</v>
      </c>
    </row>
    <row r="16" customFormat="false" ht="15" hidden="false" customHeight="false" outlineLevel="0" collapsed="false">
      <c r="A16" s="4" t="s">
        <v>114</v>
      </c>
      <c r="B16" s="30" t="n">
        <f aca="false">SUM(B4:B15)</f>
        <v>10287650</v>
      </c>
      <c r="C16" s="30" t="n">
        <f aca="false">SUM(C4:C15)</f>
        <v>10523108</v>
      </c>
      <c r="D16" s="30" t="n">
        <f aca="false">SUM(D4:D15)</f>
        <v>7420600</v>
      </c>
      <c r="E16" s="30" t="n">
        <f aca="false">SUM(E4:E15)</f>
        <v>8077500</v>
      </c>
      <c r="F16" s="30" t="n">
        <f aca="false">SUM(F4:F15)</f>
        <v>2867050</v>
      </c>
      <c r="G16" s="30" t="n">
        <f aca="false">SUM(G4:G15)</f>
        <v>2445608</v>
      </c>
      <c r="H16" s="30" t="n">
        <f aca="false">SUM(H4:H15)</f>
        <v>-421442</v>
      </c>
      <c r="J16" s="31" t="n">
        <f aca="false">IF(F16=0,0,H16/F16)</f>
        <v>-0.146994994855339</v>
      </c>
    </row>
    <row r="18" customFormat="false" ht="15" hidden="false" customHeight="false" outlineLevel="0" collapsed="false">
      <c r="A18" s="32" t="s">
        <v>115</v>
      </c>
      <c r="H18" s="33" t="n">
        <f aca="false">H16-Variance_Analysis!E33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2"/>
    <col collapsed="false" customWidth="true" hidden="false" outlineLevel="0" max="5" min="4" style="0" width="13"/>
    <col collapsed="false" customWidth="true" hidden="false" outlineLevel="0" max="9" min="6" style="0" width="15"/>
    <col collapsed="false" customWidth="true" hidden="false" outlineLevel="0" max="10" min="10" style="0" width="14"/>
  </cols>
  <sheetData>
    <row r="1" customFormat="false" ht="16.15" hidden="false" customHeight="false" outlineLevel="0" collapsed="false">
      <c r="A1" s="19" t="s">
        <v>116</v>
      </c>
    </row>
    <row r="2" customFormat="false" ht="15" hidden="false" customHeight="false" outlineLevel="0" collapsed="false">
      <c r="A2" s="12" t="s">
        <v>117</v>
      </c>
    </row>
    <row r="4" customFormat="false" ht="26.85" hidden="false" customHeight="false" outlineLevel="0" collapsed="false">
      <c r="A4" s="10" t="s">
        <v>118</v>
      </c>
      <c r="B4" s="10" t="s">
        <v>43</v>
      </c>
      <c r="C4" s="10" t="s">
        <v>45</v>
      </c>
      <c r="D4" s="10" t="s">
        <v>119</v>
      </c>
      <c r="E4" s="10" t="s">
        <v>120</v>
      </c>
      <c r="F4" s="10" t="s">
        <v>121</v>
      </c>
      <c r="G4" s="10" t="s">
        <v>122</v>
      </c>
      <c r="H4" s="10" t="s">
        <v>123</v>
      </c>
      <c r="I4" s="10" t="s">
        <v>124</v>
      </c>
      <c r="J4" s="10" t="s">
        <v>125</v>
      </c>
    </row>
    <row r="5" customFormat="false" ht="15" hidden="false" customHeight="false" outlineLevel="0" collapsed="false">
      <c r="A5" s="23" t="s">
        <v>49</v>
      </c>
      <c r="B5" s="34" t="n">
        <f aca="false">SUMIFS(Data!$E$2:$E$193,Data!$B$2:$B$193,$A5)</f>
        <v>5039</v>
      </c>
      <c r="C5" s="34" t="n">
        <f aca="false">SUMIFS(Data!$G$2:$G$193,Data!$B$2:$B$193,$A5)</f>
        <v>5306</v>
      </c>
      <c r="D5" s="24" t="n">
        <f aca="false">IF(B5=0,0,F5/B5)</f>
        <v>1150</v>
      </c>
      <c r="E5" s="24" t="n">
        <f aca="false">IF(C5=0,0,G5/C5)</f>
        <v>1120.0490011308</v>
      </c>
      <c r="F5" s="24" t="n">
        <f aca="false">SUMIFS(Data!$I$2:$I$193,Data!$B$2:$B$193,$A5)</f>
        <v>5794850</v>
      </c>
      <c r="G5" s="24" t="n">
        <f aca="false">SUMIFS(Data!$J$2:$J$193,Data!$B$2:$B$193,$A5)</f>
        <v>5942980</v>
      </c>
      <c r="H5" s="24" t="n">
        <f aca="false">(C5-B5)*D5</f>
        <v>307050</v>
      </c>
      <c r="I5" s="24" t="n">
        <f aca="false">(E5-D5)*C5</f>
        <v>-158919.999999999</v>
      </c>
      <c r="J5" s="35" t="n">
        <f aca="false">ROUND(G5-F5-H5-I5,0)</f>
        <v>0</v>
      </c>
    </row>
    <row r="6" customFormat="false" ht="15" hidden="false" customHeight="false" outlineLevel="0" collapsed="false">
      <c r="A6" s="23" t="s">
        <v>52</v>
      </c>
      <c r="B6" s="34" t="n">
        <f aca="false">SUMIFS(Data!$E$2:$E$193,Data!$B$2:$B$193,$A6)</f>
        <v>3120</v>
      </c>
      <c r="C6" s="34" t="n">
        <f aca="false">SUMIFS(Data!$G$2:$G$193,Data!$B$2:$B$193,$A6)</f>
        <v>2903</v>
      </c>
      <c r="D6" s="24" t="n">
        <f aca="false">IF(B6=0,0,F6/B6)</f>
        <v>680</v>
      </c>
      <c r="E6" s="24" t="n">
        <f aca="false">IF(C6=0,0,G6/C6)</f>
        <v>709.402342404409</v>
      </c>
      <c r="F6" s="24" t="n">
        <f aca="false">SUMIFS(Data!$I$2:$I$193,Data!$B$2:$B$193,$A6)</f>
        <v>2121600</v>
      </c>
      <c r="G6" s="24" t="n">
        <f aca="false">SUMIFS(Data!$J$2:$J$193,Data!$B$2:$B$193,$A6)</f>
        <v>2059395</v>
      </c>
      <c r="H6" s="24" t="n">
        <f aca="false">(C6-B6)*D6</f>
        <v>-147560</v>
      </c>
      <c r="I6" s="24" t="n">
        <f aca="false">(E6-D6)*C6</f>
        <v>85354.9999999999</v>
      </c>
      <c r="J6" s="35" t="n">
        <f aca="false">ROUND(G6-F6-H6-I6,0)</f>
        <v>0</v>
      </c>
    </row>
    <row r="7" customFormat="false" ht="15" hidden="false" customHeight="false" outlineLevel="0" collapsed="false">
      <c r="A7" s="23" t="s">
        <v>53</v>
      </c>
      <c r="B7" s="34" t="n">
        <f aca="false">SUMIFS(Data!$E$2:$E$193,Data!$B$2:$B$193,$A7)</f>
        <v>456</v>
      </c>
      <c r="C7" s="34" t="n">
        <f aca="false">SUMIFS(Data!$G$2:$G$193,Data!$B$2:$B$193,$A7)</f>
        <v>477</v>
      </c>
      <c r="D7" s="24" t="n">
        <f aca="false">IF(B7=0,0,F7/B7)</f>
        <v>5200</v>
      </c>
      <c r="E7" s="24" t="n">
        <f aca="false">IF(C7=0,0,G7/C7)</f>
        <v>5284.55555555556</v>
      </c>
      <c r="F7" s="24" t="n">
        <f aca="false">SUMIFS(Data!$I$2:$I$193,Data!$B$2:$B$193,$A7)</f>
        <v>2371200</v>
      </c>
      <c r="G7" s="24" t="n">
        <f aca="false">SUMIFS(Data!$J$2:$J$193,Data!$B$2:$B$193,$A7)</f>
        <v>2520733</v>
      </c>
      <c r="H7" s="24" t="n">
        <f aca="false">(C7-B7)*D7</f>
        <v>109200</v>
      </c>
      <c r="I7" s="24" t="n">
        <f aca="false">(E7-D7)*C7</f>
        <v>40333.0000000001</v>
      </c>
      <c r="J7" s="35" t="n">
        <f aca="false">ROUND(G7-F7-H7-I7,0)</f>
        <v>0</v>
      </c>
    </row>
    <row r="8" customFormat="false" ht="15" hidden="false" customHeight="false" outlineLevel="0" collapsed="false">
      <c r="A8" s="4" t="s">
        <v>126</v>
      </c>
      <c r="F8" s="30" t="n">
        <f aca="false">SUM(F5:F7)</f>
        <v>10287650</v>
      </c>
      <c r="G8" s="30" t="n">
        <f aca="false">SUM(G5:G7)</f>
        <v>10523108</v>
      </c>
      <c r="H8" s="30" t="n">
        <f aca="false">SUM(H5:H7)</f>
        <v>268690</v>
      </c>
      <c r="I8" s="30" t="n">
        <f aca="false">SUM(I5:I7)</f>
        <v>-33231.9999999995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5"/>
    <col collapsed="false" customWidth="true" hidden="false" outlineLevel="0" max="5" min="5" style="0" width="10"/>
    <col collapsed="false" customWidth="true" hidden="false" outlineLevel="0" max="6" min="6" style="0" width="8"/>
  </cols>
  <sheetData>
    <row r="1" customFormat="false" ht="16.15" hidden="false" customHeight="false" outlineLevel="0" collapsed="false">
      <c r="A1" s="19" t="s">
        <v>127</v>
      </c>
    </row>
    <row r="3" customFormat="false" ht="15" hidden="false" customHeight="false" outlineLevel="0" collapsed="false">
      <c r="A3" s="10" t="s">
        <v>42</v>
      </c>
      <c r="B3" s="10" t="s">
        <v>47</v>
      </c>
      <c r="C3" s="10" t="s">
        <v>48</v>
      </c>
      <c r="D3" s="10" t="s">
        <v>74</v>
      </c>
      <c r="E3" s="10" t="s">
        <v>75</v>
      </c>
      <c r="F3" s="10" t="s">
        <v>76</v>
      </c>
    </row>
    <row r="4" customFormat="false" ht="15" hidden="false" customHeight="false" outlineLevel="0" collapsed="false">
      <c r="A4" s="23" t="s">
        <v>51</v>
      </c>
      <c r="B4" s="24" t="n">
        <f aca="false">SUMIFS(Data!$I$2:$I$193,Data!$D$2:$D$193,$A4,Data!$C$2:$C$193,"Opex")</f>
        <v>312000</v>
      </c>
      <c r="C4" s="24" t="n">
        <f aca="false">SUMIFS(Data!$J$2:$J$193,Data!$D$2:$D$193,$A4,Data!$C$2:$C$193,"Opex")</f>
        <v>341300</v>
      </c>
      <c r="D4" s="24" t="n">
        <f aca="false">C4-B4</f>
        <v>29300</v>
      </c>
      <c r="E4" s="25" t="n">
        <f aca="false">IF(B4=0,0,D4/B4)</f>
        <v>0.0939102564102564</v>
      </c>
      <c r="F4" s="23" t="str">
        <f aca="false">IF(D4=0,"-",IF(D4&lt;0,"F","U"))</f>
        <v>U</v>
      </c>
    </row>
    <row r="5" customFormat="false" ht="15" hidden="false" customHeight="false" outlineLevel="0" collapsed="false">
      <c r="A5" s="23" t="s">
        <v>62</v>
      </c>
      <c r="B5" s="24" t="n">
        <f aca="false">SUMIFS(Data!$I$2:$I$193,Data!$D$2:$D$193,$A5,Data!$C$2:$C$193,"Opex")</f>
        <v>702000</v>
      </c>
      <c r="C5" s="24" t="n">
        <f aca="false">SUMIFS(Data!$J$2:$J$193,Data!$D$2:$D$193,$A5,Data!$C$2:$C$193,"Opex")</f>
        <v>688600</v>
      </c>
      <c r="D5" s="24" t="n">
        <f aca="false">C5-B5</f>
        <v>-13400</v>
      </c>
      <c r="E5" s="25" t="n">
        <f aca="false">IF(B5=0,0,D5/B5)</f>
        <v>-0.0190883190883191</v>
      </c>
      <c r="F5" s="23" t="str">
        <f aca="false">IF(D5=0,"-",IF(D5&lt;0,"F","U"))</f>
        <v>F</v>
      </c>
    </row>
    <row r="6" customFormat="false" ht="15" hidden="false" customHeight="false" outlineLevel="0" collapsed="false">
      <c r="A6" s="23" t="s">
        <v>60</v>
      </c>
      <c r="B6" s="24" t="n">
        <f aca="false">SUMIFS(Data!$I$2:$I$193,Data!$D$2:$D$193,$A6,Data!$C$2:$C$193,"Opex")</f>
        <v>1530000</v>
      </c>
      <c r="C6" s="24" t="n">
        <f aca="false">SUMIFS(Data!$J$2:$J$193,Data!$D$2:$D$193,$A6,Data!$C$2:$C$193,"Opex")</f>
        <v>1578600</v>
      </c>
      <c r="D6" s="24" t="n">
        <f aca="false">C6-B6</f>
        <v>48600</v>
      </c>
      <c r="E6" s="25" t="n">
        <f aca="false">IF(B6=0,0,D6/B6)</f>
        <v>0.0317647058823529</v>
      </c>
      <c r="F6" s="23" t="str">
        <f aca="false">IF(D6=0,"-",IF(D6&lt;0,"F","U"))</f>
        <v>U</v>
      </c>
    </row>
    <row r="7" customFormat="false" ht="15" hidden="false" customHeight="false" outlineLevel="0" collapsed="false">
      <c r="A7" s="23" t="s">
        <v>67</v>
      </c>
      <c r="B7" s="24" t="n">
        <f aca="false">SUMIFS(Data!$I$2:$I$193,Data!$D$2:$D$193,$A7,Data!$C$2:$C$193,"Opex")</f>
        <v>144000</v>
      </c>
      <c r="C7" s="24" t="n">
        <f aca="false">SUMIFS(Data!$J$2:$J$193,Data!$D$2:$D$193,$A7,Data!$C$2:$C$193,"Opex")</f>
        <v>171500</v>
      </c>
      <c r="D7" s="24" t="n">
        <f aca="false">C7-B7</f>
        <v>27500</v>
      </c>
      <c r="E7" s="25" t="n">
        <f aca="false">IF(B7=0,0,D7/B7)</f>
        <v>0.190972222222222</v>
      </c>
      <c r="F7" s="23" t="str">
        <f aca="false">IF(D7=0,"-",IF(D7&lt;0,"F","U"))</f>
        <v>U</v>
      </c>
    </row>
    <row r="8" customFormat="false" ht="15" hidden="false" customHeight="false" outlineLevel="0" collapsed="false">
      <c r="A8" s="4" t="s">
        <v>128</v>
      </c>
      <c r="B8" s="30" t="n">
        <f aca="false">SUM(B4:B7)</f>
        <v>2688000</v>
      </c>
      <c r="C8" s="30" t="n">
        <f aca="false">SUM(C4:C7)</f>
        <v>2780000</v>
      </c>
      <c r="D8" s="30" t="n">
        <f aca="false">SUM(D4:D7)</f>
        <v>92000</v>
      </c>
    </row>
    <row r="10" customFormat="false" ht="15" hidden="false" customHeight="false" outlineLevel="0" collapsed="false">
      <c r="A10" s="32" t="s">
        <v>129</v>
      </c>
      <c r="D10" s="33" t="n">
        <f aca="false">D8-Variance_Analysis!E31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2026-10-27T22:03:37Z</dcterms:created>
  <dc:creator>openpyxl</dc:creator>
  <dc:description/>
  <dc:language>en-US</dc:language>
  <cp:lastModifiedBy/>
  <dcterms:modified xsi:type="dcterms:W3CDTF">2026-10-28T02:03:38Z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