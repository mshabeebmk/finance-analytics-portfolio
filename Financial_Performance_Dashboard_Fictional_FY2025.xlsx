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4b727992704d09" /></Relationships>
</file>

<file path=xl/workbook.xml><?xml version="1.0" encoding="utf-8"?>
<x:workbook xmlns:x="http://schemas.openxmlformats.org/spreadsheetml/2006/main">
  <x:sheets>
    <x:sheet xmlns:r="http://schemas.openxmlformats.org/officeDocument/2006/relationships" name="Executive Dashboard" sheetId="1" r:id="R331722c1e5624a0f"/>
    <x:sheet xmlns:r="http://schemas.openxmlformats.org/officeDocument/2006/relationships" name="Monthly P&amp;L" sheetId="2" r:id="R4baf992001064786"/>
    <x:sheet xmlns:r="http://schemas.openxmlformats.org/officeDocument/2006/relationships" name="Actual Data" sheetId="3" r:id="R013d51eb6be34b94"/>
    <x:sheet xmlns:r="http://schemas.openxmlformats.org/officeDocument/2006/relationships" name="Budget Data" sheetId="4" r:id="R286012af814c48c3"/>
    <x:sheet xmlns:r="http://schemas.openxmlformats.org/officeDocument/2006/relationships" name="Read Me" sheetId="5" r:id="Rda84e03deb494d66"/>
    <x:sheet xmlns:r="http://schemas.openxmlformats.org/officeDocument/2006/relationships" name="Category Analysis" sheetId="6" r:id="Rcbed81f0458142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Red](#,##0);–"/>
    <x:numFmt numFmtId="201" formatCode="0.0%;[Red](0.0%);–"/>
  </x:numFmts>
  <x:fonts count="18">
    <x:font>
      <x:sz val="11"/>
      <x:name val="Carlito"/>
    </x:font>
    <x:font>
      <x:b/>
      <x:sz val="16"/>
      <x:color rgb="FFFFFFFF"/>
      <x:name val="Carlito"/>
    </x:font>
    <x:font>
      <x:i/>
      <x:sz val="10"/>
      <x:color rgb="FF576A82"/>
      <x:name val="Carlito"/>
    </x:font>
    <x:font>
      <x:b/>
      <x:sz val="11"/>
      <x:color rgb="FFFFFFFF"/>
      <x:name val="Carlito"/>
    </x:font>
    <x:font>
      <x:sz val="11"/>
      <x:color rgb="FF0000FF"/>
      <x:name val="Carlito"/>
    </x:font>
    <x:font>
      <x:sz val="11"/>
      <x:color rgb="FF576A82"/>
      <x:name val="Carlito"/>
    </x:font>
    <x:font>
      <x:b/>
      <x:sz val="17"/>
      <x:color rgb="FFFFFFFF"/>
      <x:name val="Carlito"/>
    </x:font>
    <x:font>
      <x:sz val="10"/>
      <x:color rgb="FF576A82"/>
      <x:name val="Carlito"/>
    </x:font>
    <x:font>
      <x:b/>
      <x:sz val="10"/>
      <x:color rgb="FFFFFFFF"/>
      <x:name val="Carlito"/>
    </x:font>
    <x:font>
      <x:sz val="10"/>
      <x:color rgb="FF1B3151"/>
      <x:name val="Carlito"/>
    </x:font>
    <x:font>
      <x:b/>
      <x:sz val="19"/>
      <x:color rgb="FFFFFFFF"/>
      <x:name val="Carlito"/>
    </x:font>
    <x:font>
      <x:sz val="11"/>
      <x:color rgb="FFE0E8F3"/>
      <x:name val="Carlito"/>
    </x:font>
    <x:font>
      <x:b/>
      <x:sz val="21"/>
      <x:color rgb="FF008000"/>
      <x:name val="Carlito"/>
    </x:font>
    <x:font>
      <x:b/>
      <x:sz val="12"/>
      <x:color rgb="FFFFFFFF"/>
      <x:name val="Carlito"/>
    </x:font>
    <x:font>
      <x:b/>
      <x:sz val="9"/>
      <x:color rgb="FFFFFFFF"/>
      <x:name val="Carlito"/>
    </x:font>
    <x:font>
      <x:sz val="11"/>
      <x:color rgb="FF008000"/>
      <x:name val="Carlito"/>
    </x:font>
    <x:font>
      <x:sz val="11"/>
      <x:color rgb="FF1B3151"/>
      <x:name val="Carlito"/>
    </x:font>
    <x:font>
      <x:b/>
      <x:sz val="11"/>
      <x:color rgb="FF1B3151"/>
      <x:name val="Carlito"/>
    </x:font>
  </x:fonts>
  <x:fills count="8">
    <x:fill>
      <x:patternFill patternType="none"/>
    </x:fill>
    <x:fill>
      <x:patternFill patternType="gray125"/>
    </x:fill>
    <x:fill>
      <x:patternFill patternType="solid">
        <x:fgColor rgb="FF10213B"/>
      </x:patternFill>
    </x:fill>
    <x:fill>
      <x:patternFill patternType="solid">
        <x:fgColor rgb="FFF2F6FB"/>
      </x:patternFill>
    </x:fill>
    <x:fill>
      <x:patternFill patternType="solid">
        <x:fgColor rgb="FF087F74"/>
      </x:patternFill>
    </x:fill>
    <x:fill>
      <x:patternFill patternType="solid">
        <x:fgColor rgb="FF1B3151"/>
      </x:patternFill>
    </x:fill>
    <x:fill>
      <x:patternFill patternType="solid">
        <x:fgColor rgb="FFFFF5DD"/>
      </x:patternFill>
    </x:fill>
    <x:fill>
      <x:patternFill patternType="solid">
        <x:fgColor rgb="FFDDF5EF"/>
      </x:patternFill>
    </x:fill>
  </x:fills>
  <x:borders count="2">
    <x:border/>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0" fontId="4" fillId="0" borderId="0" xfId="0" applyNumberFormat="1" applyFont="1" applyFill="1" applyBorder="1"/>
    <x:xf numFmtId="200" fontId="4"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vertical="center"/>
    </x:xf>
    <x:xf numFmtId="0" fontId="6" fillId="2" borderId="1" xfId="0" applyNumberFormat="1" applyFont="1" applyFill="1" applyBorder="1"/>
    <x:xf numFmtId="0" fontId="6" fillId="2" borderId="1" xfId="0" applyNumberFormat="1" applyFont="1" applyFill="1" applyBorder="1" applyAlignment="1">
      <x:alignment vertical="center"/>
    </x:xf>
    <x:xf numFmtId="0" fontId="7" fillId="3" borderId="0" xfId="0" applyNumberFormat="1" applyFont="1" applyFill="1" applyBorder="1"/>
    <x:xf numFmtId="0" fontId="7" fillId="3" borderId="1"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vertical="center" wrapText="1"/>
    </x:xf>
    <x:xf numFmtId="201" fontId="0" fillId="0" borderId="0" xfId="0" applyNumberFormat="1" applyFont="1" applyFill="1" applyBorder="1"/>
    <x:xf numFmtId="201" fontId="0" fillId="0" borderId="1" xfId="0" applyNumberFormat="1" applyFont="1" applyFill="1" applyBorder="1"/>
    <x:xf numFmtId="0" fontId="0" fillId="5" borderId="0" xfId="0" applyNumberFormat="1" applyFont="1" applyFill="1" applyBorder="1"/>
    <x:xf numFmtId="200" fontId="0" fillId="5" borderId="0" xfId="0" applyNumberFormat="1" applyFont="1" applyFill="1" applyBorder="1"/>
    <x:xf numFmtId="201" fontId="0" fillId="5" borderId="0" xfId="0" applyNumberFormat="1" applyFont="1" applyFill="1" applyBorder="1"/>
    <x:xf numFmtId="0" fontId="3" fillId="5" borderId="0" xfId="0" applyNumberFormat="1" applyFont="1" applyFill="1" applyBorder="1"/>
    <x:xf numFmtId="200" fontId="3" fillId="5" borderId="0" xfId="0" applyNumberFormat="1" applyFont="1" applyFill="1" applyBorder="1"/>
    <x:xf numFmtId="201" fontId="3" fillId="5" borderId="0" xfId="0" applyNumberFormat="1" applyFont="1" applyFill="1" applyBorder="1"/>
    <x:xf numFmtId="0" fontId="0" fillId="5" borderId="1" xfId="0" applyNumberFormat="1" applyFont="1" applyFill="1" applyBorder="1"/>
    <x:xf numFmtId="200" fontId="0" fillId="5" borderId="1" xfId="0" applyNumberFormat="1" applyFont="1" applyFill="1" applyBorder="1"/>
    <x:xf numFmtId="201" fontId="0" fillId="5" borderId="1" xfId="0" applyNumberFormat="1" applyFont="1" applyFill="1" applyBorder="1"/>
    <x:xf numFmtId="0" fontId="3" fillId="5" borderId="1" xfId="0" applyNumberFormat="1" applyFont="1" applyFill="1" applyBorder="1"/>
    <x:xf numFmtId="200" fontId="3" fillId="5" borderId="1" xfId="0" applyNumberFormat="1" applyFont="1" applyFill="1" applyBorder="1"/>
    <x:xf numFmtId="201" fontId="3" fillId="5" borderId="1" xfId="0" applyNumberFormat="1" applyFont="1" applyFill="1" applyBorder="1"/>
    <x:xf numFmtId="0" fontId="0" fillId="6" borderId="0" xfId="0" applyNumberFormat="1" applyFont="1" applyFill="1" applyBorder="1"/>
    <x:xf numFmtId="0" fontId="9" fillId="6" borderId="0" xfId="0" applyNumberFormat="1" applyFont="1" applyFill="1" applyBorder="1"/>
    <x:xf numFmtId="0" fontId="0" fillId="6" borderId="1" xfId="0" applyNumberFormat="1" applyFont="1" applyFill="1" applyBorder="1"/>
    <x:xf numFmtId="0" fontId="9" fillId="6" borderId="1"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vertical="center"/>
    </x:xf>
    <x:xf numFmtId="0" fontId="10" fillId="2" borderId="1" xfId="0" applyNumberFormat="1" applyFont="1" applyFill="1" applyBorder="1"/>
    <x:xf numFmtId="0" fontId="10" fillId="2" borderId="1" xfId="0" applyNumberFormat="1" applyFont="1" applyFill="1" applyBorder="1" applyAlignment="1">
      <x:alignment vertical="center"/>
    </x:xf>
    <x:xf numFmtId="0" fontId="11" fillId="5" borderId="0" xfId="0" applyNumberFormat="1" applyFont="1" applyFill="1" applyBorder="1"/>
    <x:xf numFmtId="0" fontId="11" fillId="5" borderId="1" xfId="0" applyNumberFormat="1" applyFont="1" applyFill="1" applyBorder="1"/>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horizontal="center"/>
    </x:xf>
    <x:xf numFmtId="0" fontId="12" fillId="7" borderId="0" xfId="0" applyNumberFormat="1" applyFont="1" applyFill="1" applyBorder="1" applyAlignment="1">
      <x:alignment horizontal="center" vertical="center"/>
    </x:xf>
    <x:xf numFmtId="0" fontId="0" fillId="7" borderId="1" xfId="0" applyNumberFormat="1" applyFont="1" applyFill="1" applyBorder="1"/>
    <x:xf numFmtId="0" fontId="12" fillId="7" borderId="1" xfId="0" applyNumberFormat="1" applyFont="1" applyFill="1" applyBorder="1"/>
    <x:xf numFmtId="0" fontId="12" fillId="7" borderId="1" xfId="0" applyNumberFormat="1" applyFont="1" applyFill="1" applyBorder="1" applyAlignment="1">
      <x:alignment horizontal="center"/>
    </x:xf>
    <x:xf numFmtId="0" fontId="12" fillId="7" borderId="1" xfId="0" applyNumberFormat="1" applyFont="1" applyFill="1" applyBorder="1" applyAlignment="1">
      <x:alignment horizontal="center" vertical="center"/>
    </x:xf>
    <x:xf numFmtId="200" fontId="12" fillId="7" borderId="0" xfId="0" applyNumberFormat="1" applyFont="1" applyFill="1" applyBorder="1" applyAlignment="1">
      <x:alignment horizontal="center" vertical="center"/>
    </x:xf>
    <x:xf numFmtId="200" fontId="12" fillId="7" borderId="1" xfId="0" applyNumberFormat="1" applyFont="1" applyFill="1" applyBorder="1" applyAlignment="1">
      <x:alignment horizontal="center" vertical="center"/>
    </x:xf>
    <x:xf numFmtId="201" fontId="12" fillId="7" borderId="0" xfId="0" applyNumberFormat="1" applyFont="1" applyFill="1" applyBorder="1" applyAlignment="1">
      <x:alignment horizontal="center" vertical="center"/>
    </x:xf>
    <x:xf numFmtId="201" fontId="12" fillId="7" borderId="1" xfId="0" applyNumberFormat="1" applyFont="1" applyFill="1" applyBorder="1" applyAlignment="1">
      <x:alignment horizontal="center" vertical="center"/>
    </x:xf>
    <x:xf numFmtId="0" fontId="13" fillId="5" borderId="0" xfId="0" applyNumberFormat="1" applyFont="1" applyFill="1" applyBorder="1"/>
    <x:xf numFmtId="0" fontId="13" fillId="5" borderId="1" xfId="0" applyNumberFormat="1" applyFont="1" applyFill="1" applyBorder="1"/>
    <x:xf numFmtId="0" fontId="14" fillId="4" borderId="0" xfId="0" applyNumberFormat="1" applyFont="1" applyFill="1" applyBorder="1"/>
    <x:xf numFmtId="0" fontId="14" fillId="4" borderId="0" xfId="0" applyNumberFormat="1" applyFont="1" applyFill="1" applyBorder="1" applyAlignment="1">
      <x:alignment wrapText="1"/>
    </x:xf>
    <x:xf numFmtId="0" fontId="14" fillId="4" borderId="1" xfId="0" applyNumberFormat="1" applyFont="1" applyFill="1" applyBorder="1"/>
    <x:xf numFmtId="0" fontId="14" fillId="4" borderId="1" xfId="0" applyNumberFormat="1" applyFont="1" applyFill="1" applyBorder="1" applyAlignment="1">
      <x:alignment wrapText="1"/>
    </x:xf>
    <x:xf numFmtId="0" fontId="15" fillId="0" borderId="0" xfId="0" applyNumberFormat="1" applyFont="1" applyFill="1" applyBorder="1"/>
    <x:xf numFmtId="200" fontId="15" fillId="0" borderId="0" xfId="0" applyNumberFormat="1" applyFont="1" applyFill="1" applyBorder="1"/>
    <x:xf numFmtId="201" fontId="15" fillId="0" borderId="0" xfId="0" applyNumberFormat="1" applyFont="1" applyFill="1" applyBorder="1"/>
    <x:xf numFmtId="0" fontId="15" fillId="0" borderId="1" xfId="0" applyNumberFormat="1" applyFont="1" applyFill="1" applyBorder="1"/>
    <x:xf numFmtId="200" fontId="15" fillId="0" borderId="1" xfId="0" applyNumberFormat="1" applyFont="1" applyFill="1" applyBorder="1"/>
    <x:xf numFmtId="201" fontId="15" fillId="0" borderId="1" xfId="0" applyNumberFormat="1" applyFont="1" applyFill="1" applyBorder="1"/>
    <x:xf numFmtId="0" fontId="16" fillId="3" borderId="0" xfId="0" applyNumberFormat="1" applyFont="1" applyFill="1" applyBorder="1"/>
    <x:xf numFmtId="0" fontId="16" fillId="3" borderId="1" xfId="0" applyNumberFormat="1" applyFont="1" applyFill="1" applyBorder="1"/>
    <x:xf numFmtId="0" fontId="15" fillId="3" borderId="0" xfId="0" applyNumberFormat="1" applyFont="1" applyFill="1" applyBorder="1"/>
    <x:xf numFmtId="0" fontId="15" fillId="3" borderId="1" xfId="0" applyNumberFormat="1" applyFont="1" applyFill="1" applyBorder="1"/>
    <x:xf numFmtId="200" fontId="15" fillId="3" borderId="0" xfId="0" applyNumberFormat="1" applyFont="1" applyFill="1" applyBorder="1"/>
    <x:xf numFmtId="200" fontId="15" fillId="3" borderId="1" xfId="0" applyNumberFormat="1" applyFont="1" applyFill="1" applyBorder="1"/>
    <x:xf numFmtId="201" fontId="15" fillId="3" borderId="0" xfId="0" applyNumberFormat="1" applyFont="1" applyFill="1" applyBorder="1"/>
    <x:xf numFmtId="201" fontId="15" fillId="3" borderId="1" xfId="0" applyNumberFormat="1" applyFont="1" applyFill="1" applyBorder="1"/>
    <x:xf numFmtId="0" fontId="16" fillId="3" borderId="0" xfId="0" applyNumberFormat="1" applyFont="1" applyFill="1" applyBorder="1" applyAlignment="1">
      <x:alignment wrapText="1"/>
    </x:xf>
    <x:xf numFmtId="0" fontId="16" fillId="3" borderId="0" xfId="0" applyNumberFormat="1" applyFont="1" applyFill="1" applyBorder="1" applyAlignment="1">
      <x:alignment vertical="center" wrapText="1"/>
    </x:xf>
    <x:xf numFmtId="0" fontId="16" fillId="3" borderId="1" xfId="0" applyNumberFormat="1" applyFont="1" applyFill="1" applyBorder="1" applyAlignment="1">
      <x:alignment wrapText="1"/>
    </x:xf>
    <x:xf numFmtId="0" fontId="16" fillId="3" borderId="1" xfId="0" applyNumberFormat="1" applyFont="1" applyFill="1" applyBorder="1" applyAlignment="1">
      <x:alignment vertical="center" wrapText="1"/>
    </x:xf>
    <x:xf numFmtId="0" fontId="17" fillId="0" borderId="0" xfId="0" applyNumberFormat="1" applyFont="1" applyFill="1" applyBorder="1"/>
    <x:xf numFmtId="0" fontId="17" fillId="0" borderId="1"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center" wrapText="1"/>
    </x:xf>
  </x:cellXfs>
  <x:cellStyles count="1">
    <x:cellStyle name="Normal" xfId="0"/>
  </x:cellStyles>
  <x:dxfs count="6">
    <x:dxf>
      <x:font>
        <x:color rgb="FFC0392B"/>
      </x:font>
      <x:fill>
        <x:patternFill patternType="solid">
          <x:bgColor rgb="FFFFF0EE"/>
        </x:patternFill>
      </x:fill>
    </x:dxf>
    <x:dxf>
      <x:font>
        <x:color rgb="FF087F74"/>
      </x:font>
      <x:fill>
        <x:patternFill patternType="solid">
          <x:bgColor rgb="FFDDF5EF"/>
        </x:patternFill>
      </x:fill>
    </x:dxf>
    <x:dxf>
      <x:font>
        <x:color rgb="FFC0392B"/>
      </x:font>
      <x:fill>
        <x:patternFill patternType="solid">
          <x:bgColor rgb="FFFFF0EE"/>
        </x:patternFill>
      </x:fill>
    </x:dxf>
    <x:dxf>
      <x:font>
        <x:color rgb="FF087F74"/>
      </x:font>
      <x:fill>
        <x:patternFill patternType="solid">
          <x:bgColor rgb="FFDDF5EF"/>
        </x:patternFill>
      </x:fill>
    </x:dxf>
    <x:dxf>
      <x:font>
        <x:color rgb="FFC0392B"/>
      </x:font>
      <x:fill>
        <x:patternFill patternType="solid">
          <x:bgColor rgb="FFFFF0EE"/>
        </x:patternFill>
      </x:fill>
    </x:dxf>
    <x:dxf>
      <x:font>
        <x:color rgb="FF087F74"/>
      </x:font>
      <x:fill>
        <x:patternFill patternType="solid">
          <x:bgColor rgb="FFDDF5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a6bbfe45a6456f" /><Relationship Type="http://schemas.openxmlformats.org/officeDocument/2006/relationships/theme" Target="/xl/theme/theme1.xml" Id="Racb5903519df4057" /><Relationship Type="http://schemas.openxmlformats.org/officeDocument/2006/relationships/sharedStrings" Target="/xl/sharedStrings.xml" Id="R09a99b9b4a6c4a54" /><Relationship Type="http://schemas.openxmlformats.org/officeDocument/2006/relationships/worksheet" Target="/xl/worksheets/sheet1.xml" Id="R331722c1e5624a0f" /><Relationship Type="http://schemas.openxmlformats.org/officeDocument/2006/relationships/worksheet" Target="/xl/worksheets/sheet2.xml" Id="R4baf992001064786" /><Relationship Type="http://schemas.openxmlformats.org/officeDocument/2006/relationships/worksheet" Target="/xl/worksheets/sheet3.xml" Id="R013d51eb6be34b94" /><Relationship Type="http://schemas.openxmlformats.org/officeDocument/2006/relationships/worksheet" Target="/xl/worksheets/sheet4.xml" Id="R286012af814c48c3" /><Relationship Type="http://schemas.openxmlformats.org/officeDocument/2006/relationships/worksheet" Target="/xl/worksheets/sheet5.xml" Id="Rda84e03deb494d66" /><Relationship Type="http://schemas.openxmlformats.org/officeDocument/2006/relationships/worksheet" Target="/xl/worksheets/sheet6.xml" Id="Rcbed81f045814222" /></Relationships>
</file>

<file path=xl/drawings/_rels/drawing1.xml.rels>&#65279;<?xml version="1.0" encoding="utf-8"?><Relationships xmlns="http://schemas.openxmlformats.org/package/2006/relationships"><Relationship Type="http://schemas.openxmlformats.org/officeDocument/2006/relationships/chart" Target="/xl/drawings/charts/chart1.xml" Id="R9f9b304f1bd24c2d" /><Relationship Type="http://schemas.openxmlformats.org/officeDocument/2006/relationships/chart" Target="/xl/drawings/charts/chart2.xml" Id="R0204a2a7c1e64d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 Actual vs Budget</a:t>
            </a:r>
          </a:p>
        </c:rich>
      </c:tx>
      <c:overlay val="0"/>
    </c:title>
    <c:plotArea>
      <c:lineChart>
        <c:grouping val="standard"/>
        <c:varyColors val="0"/>
        <c:ser>
          <c:idx val="0"/>
          <c:order val="0"/>
          <c:tx>
            <c:v>Actual revenue</c:v>
          </c:tx>
          <c:marker>
            <c:symbol val="none"/>
          </c:marker>
          <c:cat>
            <c:strRef>
              <c:f>'Monthly P&amp;L'!$A$7:$A$18</c:f>
              <c:strCache>
                <c:ptCount val="0"/>
              </c:strCache>
            </c:strRef>
          </c:cat>
          <c:val>
            <c:numRef>
              <c:f>'Monthly P&amp;L'!$B$7:$B$18</c:f>
              <c:numCache>
                <c:formatCode>#,##0</c:formatCode>
                <c:ptCount val="0"/>
              </c:numCache>
            </c:numRef>
          </c:val>
          <c:smooth val="0"/>
        </c:ser>
        <c:ser>
          <c:idx val="1"/>
          <c:order val="1"/>
          <c:tx>
            <c:v>Budget revenue</c:v>
          </c:tx>
          <c:marker>
            <c:symbol val="none"/>
          </c:marker>
          <c:cat>
            <c:strRef>
              <c:f>'Monthly P&amp;L'!$A$7:$A$18</c:f>
              <c:strCache>
                <c:ptCount val="0"/>
              </c:strCache>
            </c:strRef>
          </c:cat>
          <c:val>
            <c:numRef>
              <c:f>'Monthly P&amp;L'!$H$7:$H$18</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EBITDA · Actual vs Budget</a:t>
            </a:r>
          </a:p>
        </c:rich>
      </c:tx>
      <c:overlay val="0"/>
    </c:title>
    <c:plotArea>
      <c:barChart>
        <c:barDir val="col"/>
        <c:grouping val="clustered"/>
        <c:varyColors val="0"/>
        <c:ser>
          <c:idx val="0"/>
          <c:order val="0"/>
          <c:tx>
            <c:v>Actual EBITDA</c:v>
          </c:tx>
          <c:cat>
            <c:strRef>
              <c:f>'Monthly P&amp;L'!$A$7:$A$18</c:f>
              <c:strCache>
                <c:ptCount val="0"/>
              </c:strCache>
            </c:strRef>
          </c:cat>
          <c:val>
            <c:numRef>
              <c:f>'Monthly P&amp;L'!$F$7:$F$18</c:f>
              <c:numCache>
                <c:formatCode>#,##0</c:formatCode>
                <c:ptCount val="0"/>
              </c:numCache>
            </c:numRef>
          </c:val>
        </c:ser>
        <c:ser>
          <c:idx val="1"/>
          <c:order val="1"/>
          <c:tx>
            <c:v>Budget EBITDA</c:v>
          </c:tx>
          <c:cat>
            <c:strRef>
              <c:f>'Monthly P&amp;L'!$A$7:$A$18</c:f>
              <c:strCache>
                <c:ptCount val="0"/>
              </c:strCache>
            </c:strRef>
          </c:cat>
          <c:val>
            <c:numRef>
              <c:f>'Monthly P&amp;L'!$K$7:$K$18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29</xdr:row>
      <xdr:rowOff>0</xdr:rowOff>
    </xdr:from>
    <xdr:to>
      <xdr:col>8</xdr:col>
      <xdr:colOff>0</xdr:colOff>
      <xdr:row>45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f9b304f1bd24c2d"/>
        </a:graphicData>
      </a:graphic>
    </xdr:graphicFrame>
    <xdr:clientData/>
  </xdr:twoCellAnchor>
  <xdr:twoCellAnchor>
    <xdr:from>
      <xdr:col>8</xdr:col>
      <xdr:colOff>0</xdr:colOff>
      <xdr:row>29</xdr:row>
      <xdr:rowOff>0</xdr:rowOff>
    </xdr:from>
    <xdr:to>
      <xdr:col>15</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04a2a7c1e64d94"/>
        </a:graphicData>
      </a:graphic>
    </xdr:graphicFrame>
    <xdr:clientData/>
  </xdr:twoCellAnchor>
</xdr:wsDr>
</file>

<file path=xl/tables/table1.xml><?xml version="1.0" encoding="utf-8"?>
<x:table xmlns:x="http://schemas.openxmlformats.org/spreadsheetml/2006/main" id="1" name="DemoActuals" displayName="DemoActuals" ref="A6:E126" headerRowCount="1" totalsRowCount="0" totalsRowShown="0">
  <x:tableColumns count="5">
    <x:tableColumn id="1" name="Period"/>
    <x:tableColumn id="2" name="Account / Category"/>
    <x:tableColumn id="3" name="P&amp;L group"/>
    <x:tableColumn id="4" name="Amount (₹)"/>
    <x:tableColumn id="5" name="Input source"/>
  </x:tableColumns>
  <x:tableStyleInfo name="TableStyleMedium2" showFirstColumn="0" showLastColumn="0" showRowStripes="1" showColumnStripes="0"/>
</x:table>
</file>

<file path=xl/tables/table2.xml><?xml version="1.0" encoding="utf-8"?>
<x:table xmlns:x="http://schemas.openxmlformats.org/spreadsheetml/2006/main" id="2" name="DemoBudgets" displayName="DemoBudgets" ref="A6:E126" headerRowCount="1" totalsRowCount="0" totalsRowShown="0">
  <x:tableColumns count="5">
    <x:tableColumn id="1" name="Period"/>
    <x:tableColumn id="2" name="Account / Category"/>
    <x:tableColumn id="3" name="P&amp;L group"/>
    <x:tableColumn id="4" name="Amount (₹)"/>
    <x:tableColumn id="5" name="Input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97bd9117b744908" /></Relationships>
</file>

<file path=xl/worksheets/_rels/sheet3.xml.rels>&#65279;<?xml version="1.0" encoding="utf-8"?><Relationships xmlns="http://schemas.openxmlformats.org/package/2006/relationships"><Relationship Type="http://schemas.openxmlformats.org/officeDocument/2006/relationships/table" Target="/xl/tables/table1.xml" Id="R0aad65e4001d4204" /></Relationships>
</file>

<file path=xl/worksheets/_rels/sheet4.xml.rels>&#65279;<?xml version="1.0" encoding="utf-8"?><Relationships xmlns="http://schemas.openxmlformats.org/package/2006/relationships"><Relationship Type="http://schemas.openxmlformats.org/officeDocument/2006/relationships/table" Target="/xl/tables/table2.xml" Id="Rbf1b75c349be4a6e"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26" customHeight="1">
      <x:c r="A1" s="55" t="str">
        <x:v>FINANCIAL PERFORMANCE  /  FY2025</x:v>
      </x:c>
      <x:c r="B1" s="55"/>
      <x:c r="C1" s="55"/>
      <x:c r="D1" s="55"/>
      <x:c r="E1" s="55"/>
      <x:c r="F1" s="55"/>
      <x:c r="G1" s="55"/>
      <x:c r="H1" s="55"/>
      <x:c r="I1" s="55"/>
      <x:c r="J1" s="55"/>
      <x:c r="K1" s="55"/>
      <x:c r="L1" s="55"/>
      <x:c r="M1" s="55"/>
      <x:c r="N1" s="55"/>
      <x:c r="O1" s="55"/>
    </x:row>
    <x:row r="2" ht="26" customHeight="1">
      <x:c r="A2" s="55"/>
      <x:c r="B2" s="55"/>
      <x:c r="C2" s="55"/>
      <x:c r="D2" s="55"/>
      <x:c r="E2" s="55"/>
      <x:c r="F2" s="55"/>
      <x:c r="G2" s="55"/>
      <x:c r="H2" s="55"/>
      <x:c r="I2" s="55"/>
      <x:c r="J2" s="55"/>
      <x:c r="K2" s="55"/>
      <x:c r="L2" s="55"/>
      <x:c r="M2" s="55"/>
      <x:c r="N2" s="55"/>
      <x:c r="O2" s="55"/>
    </x:row>
    <x:row r="3" ht="29" customHeight="1">
      <x:c r="A3" s="58" t="str">
        <x:v>NORTHSTAR BUSINESS SERVICES  |  Fictional case study  |  Indian rupees (₹), not actual employer or client data</x:v>
      </x:c>
      <x:c r="B3" s="58"/>
      <x:c r="C3" s="58"/>
      <x:c r="D3" s="58"/>
      <x:c r="E3" s="58"/>
      <x:c r="F3" s="58"/>
      <x:c r="G3" s="58"/>
      <x:c r="H3" s="58"/>
      <x:c r="I3" s="58"/>
      <x:c r="J3" s="58"/>
      <x:c r="K3" s="58"/>
      <x:c r="L3" s="58"/>
      <x:c r="M3" s="58"/>
      <x:c r="N3" s="58"/>
      <x:c r="O3" s="58"/>
    </x:row>
    <x:row r="5" ht="26" customHeight="1">
      <x:c r="A5" s="30" t="str">
        <x:v>FY REVENUE</x:v>
      </x:c>
      <x:c r="B5" s="30"/>
      <x:c r="C5" s="30"/>
      <x:c r="E5" s="30" t="str">
        <x:v>FY EBITDA</x:v>
      </x:c>
      <x:c r="F5" s="30"/>
      <x:c r="G5" s="30"/>
      <x:c r="I5" s="30" t="str">
        <x:v>EBITDA MARGIN</x:v>
      </x:c>
      <x:c r="J5" s="30"/>
      <x:c r="K5" s="30"/>
      <x:c r="M5" s="30" t="str">
        <x:v>EBITDA VS PLAN</x:v>
      </x:c>
      <x:c r="N5" s="30"/>
      <x:c r="O5" s="30"/>
    </x:row>
    <x:row r="6" ht="22" customHeight="1">
      <x:c r="A6" s="68" t="n">
        <x:f>'Monthly P&amp;L'!B19</x:f>
        <x:v>17396500</x:v>
      </x:c>
      <x:c r="B6" s="63"/>
      <x:c r="C6" s="63"/>
      <x:c r="E6" s="68" t="n">
        <x:f>'Monthly P&amp;L'!F19</x:f>
        <x:v>6349800</x:v>
      </x:c>
      <x:c r="F6" s="63"/>
      <x:c r="G6" s="63"/>
      <x:c r="I6" s="70" t="n">
        <x:f>'Monthly P&amp;L'!G19</x:f>
        <x:v>0.36500445491909295</x:v>
      </x:c>
      <x:c r="J6" s="63"/>
      <x:c r="K6" s="63"/>
      <x:c r="M6" s="68" t="n">
        <x:f>'Monthly P&amp;L'!L19</x:f>
        <x:v>243900</x:v>
      </x:c>
      <x:c r="N6" s="63"/>
      <x:c r="O6" s="63"/>
    </x:row>
    <x:row r="7" ht="22" customHeight="1">
      <x:c r="A7" s="63"/>
      <x:c r="B7" s="63"/>
      <x:c r="C7" s="63"/>
      <x:c r="E7" s="63"/>
      <x:c r="F7" s="63"/>
      <x:c r="G7" s="63"/>
      <x:c r="I7" s="63"/>
      <x:c r="J7" s="63"/>
      <x:c r="K7" s="63"/>
      <x:c r="M7" s="63"/>
      <x:c r="N7" s="63"/>
      <x:c r="O7" s="63"/>
    </x:row>
    <x:row r="8" ht="22" customHeight="1">
      <x:c r="A8" s="63"/>
      <x:c r="B8" s="63"/>
      <x:c r="C8" s="63"/>
      <x:c r="E8" s="63"/>
      <x:c r="F8" s="63"/>
      <x:c r="G8" s="63"/>
      <x:c r="I8" s="63"/>
      <x:c r="J8" s="63"/>
      <x:c r="K8" s="63"/>
      <x:c r="M8" s="63"/>
      <x:c r="N8" s="63"/>
      <x:c r="O8" s="63"/>
    </x:row>
    <x:row r="10" ht="25" customHeight="1">
      <x:c r="A10" s="28" t="str">
        <x:v>Model notes: EBITDA = Revenue – COGS – Operating costs. Budget variance = Actual EBITDA – Budget EBITDA. Positive is favorable.</x:v>
      </x:c>
      <x:c r="B10" s="28"/>
      <x:c r="C10" s="28"/>
      <x:c r="D10" s="28"/>
      <x:c r="E10" s="28"/>
      <x:c r="F10" s="28"/>
      <x:c r="G10" s="28"/>
      <x:c r="H10" s="28"/>
      <x:c r="I10" s="28"/>
      <x:c r="J10" s="28"/>
      <x:c r="K10" s="28"/>
      <x:c r="L10" s="28"/>
      <x:c r="M10" s="28"/>
      <x:c r="N10" s="28"/>
      <x:c r="O10" s="28"/>
    </x:row>
    <x:row r="12" ht="28" customHeight="1">
      <x:c r="A12" s="72" t="str">
        <x:v>MONTHLY FINANCIAL TREND</x:v>
      </x:c>
      <x:c r="B12" s="72"/>
      <x:c r="C12" s="72"/>
      <x:c r="D12" s="72"/>
      <x:c r="E12" s="72"/>
      <x:c r="F12" s="72"/>
      <x:c r="G12" s="72"/>
      <x:c r="H12" s="72"/>
      <x:c r="I12" s="72"/>
      <x:c r="J12" s="72"/>
      <x:c r="K12" s="72"/>
      <x:c r="L12" s="72"/>
      <x:c r="M12" s="72"/>
      <x:c r="N12" s="72"/>
      <x:c r="O12" s="72"/>
    </x:row>
    <x:row r="14" ht="35" customHeight="1">
      <x:c r="A14" s="75" t="str">
        <x:v>Month</x:v>
      </x:c>
      <x:c r="B14" s="75" t="str">
        <x:v>Revenue (₹)</x:v>
      </x:c>
      <x:c r="C14" s="75" t="str">
        <x:v>Budget rev (₹)</x:v>
      </x:c>
      <x:c r="D14" s="75" t="str">
        <x:v>Gross profit (₹)</x:v>
      </x:c>
      <x:c r="E14" s="75" t="str">
        <x:v>EBITDA (₹)</x:v>
      </x:c>
      <x:c r="F14" s="75" t="str">
        <x:v>Budget EBITDA</x:v>
      </x:c>
      <x:c r="G14" s="75" t="str">
        <x:v>EBITDA var</x:v>
      </x:c>
      <x:c r="H14" s="75" t="str">
        <x:v>EBITDA %</x:v>
      </x:c>
      <x:c r="J14" s="30" t="str">
        <x:v>ANNUAL FINANCIAL SNAPSHOT</x:v>
      </x:c>
      <x:c r="K14" s="30"/>
      <x:c r="L14" s="30"/>
      <x:c r="M14" s="30"/>
      <x:c r="N14" s="30"/>
      <x:c r="O14" s="30"/>
    </x:row>
    <x:row r="15">
      <x:c r="A15" s="78" t="str">
        <x:f>'Monthly P&amp;L'!A7</x:f>
        <x:v>2025-01</x:v>
      </x:c>
      <x:c r="B15" s="79" t="n">
        <x:f>'Monthly P&amp;L'!B7</x:f>
        <x:v>1249700</x:v>
      </x:c>
      <x:c r="C15" s="79" t="n">
        <x:f>'Monthly P&amp;L'!H7</x:f>
        <x:v>1174400</x:v>
      </x:c>
      <x:c r="D15" s="79" t="n">
        <x:f>'Monthly P&amp;L'!D7</x:f>
        <x:v>875800</x:v>
      </x:c>
      <x:c r="E15" s="79" t="n">
        <x:f>'Monthly P&amp;L'!F7</x:f>
        <x:v>487700</x:v>
      </x:c>
      <x:c r="F15" s="79" t="n">
        <x:f>'Monthly P&amp;L'!K7</x:f>
        <x:v>413600</x:v>
      </x:c>
      <x:c r="G15" s="79" t="n">
        <x:f>'Monthly P&amp;L'!L7</x:f>
        <x:v>74100</x:v>
      </x:c>
      <x:c r="H15" s="80" t="n">
        <x:f>'Monthly P&amp;L'!G7</x:f>
        <x:v>0.39025366087861085</x:v>
      </x:c>
    </x:row>
    <x:row r="16" ht="27" customHeight="1">
      <x:c r="A16" s="78" t="str">
        <x:f>'Monthly P&amp;L'!A8</x:f>
        <x:v>2025-02</x:v>
      </x:c>
      <x:c r="B16" s="79" t="n">
        <x:f>'Monthly P&amp;L'!B8</x:f>
        <x:v>1288300</x:v>
      </x:c>
      <x:c r="C16" s="79" t="n">
        <x:f>'Monthly P&amp;L'!H8</x:f>
        <x:v>1229300</x:v>
      </x:c>
      <x:c r="D16" s="79" t="n">
        <x:f>'Monthly P&amp;L'!D8</x:f>
        <x:v>918200</x:v>
      </x:c>
      <x:c r="E16" s="79" t="n">
        <x:f>'Monthly P&amp;L'!F8</x:f>
        <x:v>528700</x:v>
      </x:c>
      <x:c r="F16" s="79" t="n">
        <x:f>'Monthly P&amp;L'!K8</x:f>
        <x:v>440700</x:v>
      </x:c>
      <x:c r="G16" s="79" t="n">
        <x:f>'Monthly P&amp;L'!L8</x:f>
        <x:v>88000</x:v>
      </x:c>
      <x:c r="H16" s="80" t="n">
        <x:f>'Monthly P&amp;L'!G8</x:f>
        <x:v>0.4103857797096949</x:v>
      </x:c>
      <x:c r="J16" s="84" t="str">
        <x:v>Gross profit</x:v>
      </x:c>
      <x:c r="K16" s="84"/>
      <x:c r="L16" s="84"/>
      <x:c r="M16" s="84"/>
      <x:c r="N16" s="88" t="n">
        <x:f>'Monthly P&amp;L'!D19</x:f>
        <x:v>12123200</x:v>
      </x:c>
      <x:c r="O16" s="86"/>
    </x:row>
    <x:row r="17">
      <x:c r="A17" s="78" t="str">
        <x:f>'Monthly P&amp;L'!A9</x:f>
        <x:v>2025-03</x:v>
      </x:c>
      <x:c r="B17" s="79" t="n">
        <x:f>'Monthly P&amp;L'!B9</x:f>
        <x:v>1275800</x:v>
      </x:c>
      <x:c r="C17" s="79" t="n">
        <x:f>'Monthly P&amp;L'!H9</x:f>
        <x:v>1280400</x:v>
      </x:c>
      <x:c r="D17" s="79" t="n">
        <x:f>'Monthly P&amp;L'!D9</x:f>
        <x:v>909100</x:v>
      </x:c>
      <x:c r="E17" s="79" t="n">
        <x:f>'Monthly P&amp;L'!F9</x:f>
        <x:v>505500</x:v>
      </x:c>
      <x:c r="F17" s="79" t="n">
        <x:f>'Monthly P&amp;L'!K9</x:f>
        <x:v>466300</x:v>
      </x:c>
      <x:c r="G17" s="79" t="n">
        <x:f>'Monthly P&amp;L'!L9</x:f>
        <x:v>39200</x:v>
      </x:c>
      <x:c r="H17" s="80" t="n">
        <x:f>'Monthly P&amp;L'!G9</x:f>
        <x:v>0.3962219783665151</x:v>
      </x:c>
    </x:row>
    <x:row r="18" ht="27" customHeight="1">
      <x:c r="A18" s="78" t="str">
        <x:f>'Monthly P&amp;L'!A10</x:f>
        <x:v>2025-04</x:v>
      </x:c>
      <x:c r="B18" s="79" t="n">
        <x:f>'Monthly P&amp;L'!B10</x:f>
        <x:v>1253800</x:v>
      </x:c>
      <x:c r="C18" s="79" t="n">
        <x:f>'Monthly P&amp;L'!H10</x:f>
        <x:v>1325700</x:v>
      </x:c>
      <x:c r="D18" s="79" t="n">
        <x:f>'Monthly P&amp;L'!D10</x:f>
        <x:v>876300</x:v>
      </x:c>
      <x:c r="E18" s="79" t="n">
        <x:f>'Monthly P&amp;L'!F10</x:f>
        <x:v>441100</x:v>
      </x:c>
      <x:c r="F18" s="79" t="n">
        <x:f>'Monthly P&amp;L'!K10</x:f>
        <x:v>487300</x:v>
      </x:c>
      <x:c r="G18" s="79" t="n">
        <x:f>'Monthly P&amp;L'!L10</x:f>
        <x:v>-46200</x:v>
      </x:c>
      <x:c r="H18" s="80" t="n">
        <x:f>'Monthly P&amp;L'!G10</x:f>
        <x:v>0.3518104960918807</x:v>
      </x:c>
      <x:c r="J18" s="84" t="str">
        <x:v>Cost of services</x:v>
      </x:c>
      <x:c r="K18" s="84"/>
      <x:c r="L18" s="84"/>
      <x:c r="M18" s="84"/>
      <x:c r="N18" s="88" t="n">
        <x:f>'Monthly P&amp;L'!C19</x:f>
        <x:v>5273300</x:v>
      </x:c>
      <x:c r="O18" s="86"/>
    </x:row>
    <x:row r="19">
      <x:c r="A19" s="78" t="str">
        <x:f>'Monthly P&amp;L'!A11</x:f>
        <x:v>2025-05</x:v>
      </x:c>
      <x:c r="B19" s="79" t="n">
        <x:f>'Monthly P&amp;L'!B11</x:f>
        <x:v>1273200</x:v>
      </x:c>
      <x:c r="C19" s="79" t="n">
        <x:f>'Monthly P&amp;L'!H11</x:f>
        <x:v>1365200</x:v>
      </x:c>
      <x:c r="D19" s="79" t="n">
        <x:f>'Monthly P&amp;L'!D11</x:f>
        <x:v>865100</x:v>
      </x:c>
      <x:c r="E19" s="79" t="n">
        <x:f>'Monthly P&amp;L'!F11</x:f>
        <x:v>389400</x:v>
      </x:c>
      <x:c r="F19" s="79" t="n">
        <x:f>'Monthly P&amp;L'!K11</x:f>
        <x:v>501400</x:v>
      </x:c>
      <x:c r="G19" s="79" t="n">
        <x:f>'Monthly P&amp;L'!L11</x:f>
        <x:v>-112000</x:v>
      </x:c>
      <x:c r="H19" s="80" t="n">
        <x:f>'Monthly P&amp;L'!G11</x:f>
        <x:v>0.3058435438265787</x:v>
      </x:c>
    </x:row>
    <x:row r="20" ht="27" customHeight="1">
      <x:c r="A20" s="78" t="str">
        <x:f>'Monthly P&amp;L'!A12</x:f>
        <x:v>2025-06</x:v>
      </x:c>
      <x:c r="B20" s="79" t="n">
        <x:f>'Monthly P&amp;L'!B12</x:f>
        <x:v>1359500</x:v>
      </x:c>
      <x:c r="C20" s="79" t="n">
        <x:f>'Monthly P&amp;L'!H12</x:f>
        <x:v>1401400</x:v>
      </x:c>
      <x:c r="D20" s="79" t="n">
        <x:f>'Monthly P&amp;L'!D12</x:f>
        <x:v>909600</x:v>
      </x:c>
      <x:c r="E20" s="79" t="n">
        <x:f>'Monthly P&amp;L'!F12</x:f>
        <x:v>401200</x:v>
      </x:c>
      <x:c r="F20" s="79" t="n">
        <x:f>'Monthly P&amp;L'!K12</x:f>
        <x:v>509500</x:v>
      </x:c>
      <x:c r="G20" s="79" t="n">
        <x:f>'Monthly P&amp;L'!L12</x:f>
        <x:v>-108300</x:v>
      </x:c>
      <x:c r="H20" s="80" t="n">
        <x:f>'Monthly P&amp;L'!G12</x:f>
        <x:v>0.29510849577050385</x:v>
      </x:c>
      <x:c r="J20" s="84" t="str">
        <x:v>Operating expenses</x:v>
      </x:c>
      <x:c r="K20" s="84"/>
      <x:c r="L20" s="84"/>
      <x:c r="M20" s="84"/>
      <x:c r="N20" s="88" t="n">
        <x:f>'Monthly P&amp;L'!E19</x:f>
        <x:v>5773400</x:v>
      </x:c>
      <x:c r="O20" s="86"/>
    </x:row>
    <x:row r="21">
      <x:c r="A21" s="78" t="str">
        <x:f>'Monthly P&amp;L'!A13</x:f>
        <x:v>2025-07</x:v>
      </x:c>
      <x:c r="B21" s="79" t="n">
        <x:f>'Monthly P&amp;L'!B13</x:f>
        <x:v>1492400</x:v>
      </x:c>
      <x:c r="C21" s="79" t="n">
        <x:f>'Monthly P&amp;L'!H13</x:f>
        <x:v>1437700</x:v>
      </x:c>
      <x:c r="D21" s="79" t="n">
        <x:f>'Monthly P&amp;L'!D13</x:f>
        <x:v>1007700</x:v>
      </x:c>
      <x:c r="E21" s="79" t="n">
        <x:f>'Monthly P&amp;L'!F13</x:f>
        <x:v>487400</x:v>
      </x:c>
      <x:c r="F21" s="79" t="n">
        <x:f>'Monthly P&amp;L'!K13</x:f>
        <x:v>514300</x:v>
      </x:c>
      <x:c r="G21" s="79" t="n">
        <x:f>'Monthly P&amp;L'!L13</x:f>
        <x:v>-26900</x:v>
      </x:c>
      <x:c r="H21" s="80" t="n">
        <x:f>'Monthly P&amp;L'!G13</x:f>
        <x:v>0.3265880461002412</x:v>
      </x:c>
    </x:row>
    <x:row r="22" ht="27" customHeight="1">
      <x:c r="A22" s="78" t="str">
        <x:f>'Monthly P&amp;L'!A14</x:f>
        <x:v>2025-08</x:v>
      </x:c>
      <x:c r="B22" s="79" t="n">
        <x:f>'Monthly P&amp;L'!B14</x:f>
        <x:v>1615900</x:v>
      </x:c>
      <x:c r="C22" s="79" t="n">
        <x:f>'Monthly P&amp;L'!H14</x:f>
        <x:v>1478200</x:v>
      </x:c>
      <x:c r="D22" s="79" t="n">
        <x:f>'Monthly P&amp;L'!D14</x:f>
        <x:v>1118500</x:v>
      </x:c>
      <x:c r="E22" s="79" t="n">
        <x:f>'Monthly P&amp;L'!F14</x:f>
        <x:v>605500</x:v>
      </x:c>
      <x:c r="F22" s="79" t="n">
        <x:f>'Monthly P&amp;L'!K14</x:f>
        <x:v>519600</x:v>
      </x:c>
      <x:c r="G22" s="79" t="n">
        <x:f>'Monthly P&amp;L'!L14</x:f>
        <x:v>85900</x:v>
      </x:c>
      <x:c r="H22" s="80" t="n">
        <x:f>'Monthly P&amp;L'!G14</x:f>
        <x:v>0.3747137817934278</x:v>
      </x:c>
      <x:c r="J22" s="84" t="str">
        <x:v>Budget EBITDA</x:v>
      </x:c>
      <x:c r="K22" s="84"/>
      <x:c r="L22" s="84"/>
      <x:c r="M22" s="84"/>
      <x:c r="N22" s="88" t="n">
        <x:f>'Monthly P&amp;L'!K19</x:f>
        <x:v>6105900</x:v>
      </x:c>
      <x:c r="O22" s="86"/>
    </x:row>
    <x:row r="23">
      <x:c r="A23" s="78" t="str">
        <x:f>'Monthly P&amp;L'!A15</x:f>
        <x:v>2025-09</x:v>
      </x:c>
      <x:c r="B23" s="79" t="n">
        <x:f>'Monthly P&amp;L'!B15</x:f>
        <x:v>1676500</x:v>
      </x:c>
      <x:c r="C23" s="79" t="n">
        <x:f>'Monthly P&amp;L'!H15</x:f>
        <x:v>1525200</x:v>
      </x:c>
      <x:c r="D23" s="79" t="n">
        <x:f>'Monthly P&amp;L'!D15</x:f>
        <x:v>1187800</x:v>
      </x:c>
      <x:c r="E23" s="79" t="n">
        <x:f>'Monthly P&amp;L'!F15</x:f>
        <x:v>684700</x:v>
      </x:c>
      <x:c r="F23" s="79" t="n">
        <x:f>'Monthly P&amp;L'!K15</x:f>
        <x:v>529600</x:v>
      </x:c>
      <x:c r="G23" s="79" t="n">
        <x:f>'Monthly P&amp;L'!L15</x:f>
        <x:v>155100</x:v>
      </x:c>
      <x:c r="H23" s="80" t="n">
        <x:f>'Monthly P&amp;L'!G15</x:f>
        <x:v>0.4084103787652848</x:v>
      </x:c>
    </x:row>
    <x:row r="24" ht="27" customHeight="1">
      <x:c r="A24" s="78" t="str">
        <x:f>'Monthly P&amp;L'!A16</x:f>
        <x:v>2025-10</x:v>
      </x:c>
      <x:c r="B24" s="79" t="n">
        <x:f>'Monthly P&amp;L'!B16</x:f>
        <x:v>1664500</x:v>
      </x:c>
      <x:c r="C24" s="79" t="n">
        <x:f>'Monthly P&amp;L'!H16</x:f>
        <x:v>1579300</x:v>
      </x:c>
      <x:c r="D24" s="79" t="n">
        <x:f>'Monthly P&amp;L'!D16</x:f>
        <x:v>1189200</x:v>
      </x:c>
      <x:c r="E24" s="79" t="n">
        <x:f>'Monthly P&amp;L'!F16</x:f>
        <x:v>679800</x:v>
      </x:c>
      <x:c r="F24" s="79" t="n">
        <x:f>'Monthly P&amp;L'!K16</x:f>
        <x:v>547500</x:v>
      </x:c>
      <x:c r="G24" s="79" t="n">
        <x:f>'Monthly P&amp;L'!L16</x:f>
        <x:v>132300</x:v>
      </x:c>
      <x:c r="H24" s="80" t="n">
        <x:f>'Monthly P&amp;L'!G16</x:f>
        <x:v>0.4084109342144788</x:v>
      </x:c>
      <x:c r="J24" s="84" t="str">
        <x:v>Revenue variance %</x:v>
      </x:c>
      <x:c r="K24" s="84"/>
      <x:c r="L24" s="84"/>
      <x:c r="M24" s="84"/>
      <x:c r="N24" s="90" t="n">
        <x:f>'Monthly P&amp;L'!M19</x:f>
        <x:v>0.015427090507932431</x:v>
      </x:c>
      <x:c r="O24" s="86"/>
    </x:row>
    <x:row r="25">
      <x:c r="A25" s="78" t="str">
        <x:f>'Monthly P&amp;L'!A17</x:f>
        <x:v>2025-11</x:v>
      </x:c>
      <x:c r="B25" s="79" t="n">
        <x:f>'Monthly P&amp;L'!B17</x:f>
        <x:v>1624900</x:v>
      </x:c>
      <x:c r="C25" s="79" t="n">
        <x:f>'Monthly P&amp;L'!H17</x:f>
        <x:v>1637900</x:v>
      </x:c>
      <x:c r="D25" s="79" t="n">
        <x:f>'Monthly P&amp;L'!D17</x:f>
        <x:v>1147700</x:v>
      </x:c>
      <x:c r="E25" s="79" t="n">
        <x:f>'Monthly P&amp;L'!F17</x:f>
        <x:v>607500</x:v>
      </x:c>
      <x:c r="F25" s="79" t="n">
        <x:f>'Monthly P&amp;L'!K17</x:f>
        <x:v>572800</x:v>
      </x:c>
      <x:c r="G25" s="79" t="n">
        <x:f>'Monthly P&amp;L'!L17</x:f>
        <x:v>34700</x:v>
      </x:c>
      <x:c r="H25" s="80" t="n">
        <x:f>'Monthly P&amp;L'!G17</x:f>
        <x:v>0.3738691611791495</x:v>
      </x:c>
    </x:row>
    <x:row r="26" ht="27" customHeight="1">
      <x:c r="A26" s="78" t="str">
        <x:f>'Monthly P&amp;L'!A18</x:f>
        <x:v>2025-12</x:v>
      </x:c>
      <x:c r="B26" s="79" t="n">
        <x:f>'Monthly P&amp;L'!B18</x:f>
        <x:v>1622000</x:v>
      </x:c>
      <x:c r="C26" s="79" t="n">
        <x:f>'Monthly P&amp;L'!H18</x:f>
        <x:v>1697500</x:v>
      </x:c>
      <x:c r="D26" s="79" t="n">
        <x:f>'Monthly P&amp;L'!D18</x:f>
        <x:v>1118200</x:v>
      </x:c>
      <x:c r="E26" s="79" t="n">
        <x:f>'Monthly P&amp;L'!F18</x:f>
        <x:v>531300</x:v>
      </x:c>
      <x:c r="F26" s="79" t="n">
        <x:f>'Monthly P&amp;L'!K18</x:f>
        <x:v>603300</x:v>
      </x:c>
      <x:c r="G26" s="79" t="n">
        <x:f>'Monthly P&amp;L'!L18</x:f>
        <x:v>-72000</x:v>
      </x:c>
      <x:c r="H26" s="80" t="n">
        <x:f>'Monthly P&amp;L'!G18</x:f>
        <x:v>0.3275585696670777</x:v>
      </x:c>
      <x:c r="J26" s="84" t="str">
        <x:v>Budget EBITDA margin</x:v>
      </x:c>
      <x:c r="K26" s="84"/>
      <x:c r="L26" s="84"/>
      <x:c r="M26" s="84"/>
      <x:c r="N26" s="90" t="n">
        <x:f>'Monthly P&amp;L'!N19</x:f>
        <x:v>0.35639906141651395</x:v>
      </x:c>
      <x:c r="O26" s="86"/>
    </x:row>
    <x:row r="28" ht="28" customHeight="1">
      <x:c r="A28" s="41" t="str">
        <x:v>REVENUE AND OPERATING PROFITABILITY</x:v>
      </x:c>
      <x:c r="B28" s="41"/>
      <x:c r="C28" s="41"/>
      <x:c r="D28" s="41"/>
      <x:c r="E28" s="41"/>
      <x:c r="F28" s="41"/>
      <x:c r="G28" s="41"/>
      <x:c r="H28" s="41"/>
      <x:c r="I28" s="41"/>
      <x:c r="J28" s="41"/>
      <x:c r="K28" s="41"/>
      <x:c r="L28" s="41"/>
      <x:c r="M28" s="41"/>
      <x:c r="N28" s="41"/>
      <x:c r="O28" s="41"/>
    </x:row>
    <x:row r="47" ht="26" customHeight="1">
      <x:c r="A47" s="41" t="str">
        <x:v>ANALYST COMMENTARY / HOW TO READ THIS MODEL</x:v>
      </x:c>
      <x:c r="B47" s="41"/>
      <x:c r="C47" s="41"/>
      <x:c r="D47" s="41"/>
      <x:c r="E47" s="41"/>
      <x:c r="F47" s="41"/>
      <x:c r="G47" s="41"/>
      <x:c r="H47" s="41"/>
      <x:c r="I47" s="41"/>
      <x:c r="J47" s="41"/>
      <x:c r="K47" s="41"/>
      <x:c r="L47" s="41"/>
      <x:c r="M47" s="41"/>
      <x:c r="N47" s="41"/>
      <x:c r="O47" s="41"/>
    </x:row>
    <x:row r="49" ht="23" customHeight="1">
      <x:c r="A49" s="28" t="str">
        <x:v>• Start with the annual KPI cards. Review monthly EBITDA variances to identify profit outperformance or shortfalls.</x:v>
      </x:c>
      <x:c r="B49" s="28"/>
      <x:c r="C49" s="28"/>
      <x:c r="D49" s="28"/>
      <x:c r="E49" s="28"/>
      <x:c r="F49" s="28"/>
      <x:c r="G49" s="28"/>
      <x:c r="H49" s="28"/>
      <x:c r="I49" s="28"/>
      <x:c r="J49" s="28"/>
      <x:c r="K49" s="28"/>
      <x:c r="L49" s="28"/>
      <x:c r="M49" s="28"/>
      <x:c r="N49" s="28"/>
      <x:c r="O49" s="28"/>
    </x:row>
    <x:row r="50" ht="23" customHeight="1">
      <x:c r="A50" s="28" t="str">
        <x:v>• Open Monthly P&amp;L and Category Analysis to drill down into the underlying financial drivers.</x:v>
      </x:c>
      <x:c r="B50" s="28"/>
      <x:c r="C50" s="28"/>
      <x:c r="D50" s="28"/>
      <x:c r="E50" s="28"/>
      <x:c r="F50" s="28"/>
      <x:c r="G50" s="28"/>
      <x:c r="H50" s="28"/>
      <x:c r="I50" s="28"/>
      <x:c r="J50" s="28"/>
      <x:c r="K50" s="28"/>
      <x:c r="L50" s="28"/>
      <x:c r="M50" s="28"/>
      <x:c r="N50" s="28"/>
      <x:c r="O50" s="28"/>
    </x:row>
    <x:row r="51" ht="23" customHeight="1">
      <x:c r="A51" s="28" t="str">
        <x:v>• Change the blue amounts in Actual Data or Budget Data to test how the linked reports respond.</x:v>
      </x:c>
      <x:c r="B51" s="28"/>
      <x:c r="C51" s="28"/>
      <x:c r="D51" s="28"/>
      <x:c r="E51" s="28"/>
      <x:c r="F51" s="28"/>
      <x:c r="G51" s="28"/>
      <x:c r="H51" s="28"/>
      <x:c r="I51" s="28"/>
      <x:c r="J51" s="28"/>
      <x:c r="K51" s="28"/>
      <x:c r="L51" s="28"/>
      <x:c r="M51" s="28"/>
      <x:c r="N51" s="28"/>
      <x:c r="O51" s="28"/>
    </x:row>
    <x:row r="52" ht="23" customHeight="1">
      <x:c r="A52" s="28" t="str">
        <x:v>• All amounts are synthetic and prepared solely for skills demonstration. No confidential data is used.</x:v>
      </x:c>
      <x:c r="B52" s="28"/>
      <x:c r="C52" s="28"/>
      <x:c r="D52" s="28"/>
      <x:c r="E52" s="28"/>
      <x:c r="F52" s="28"/>
      <x:c r="G52" s="28"/>
      <x:c r="H52" s="28"/>
      <x:c r="I52" s="28"/>
      <x:c r="J52" s="28"/>
      <x:c r="K52" s="28"/>
      <x:c r="L52" s="28"/>
      <x:c r="M52" s="28"/>
      <x:c r="N52" s="28"/>
      <x:c r="O52" s="28"/>
    </x:row>
  </x:sheetData>
  <x:mergeCells>
    <x:mergeCell ref="A1:O2"/>
    <x:mergeCell ref="A3:O3"/>
    <x:mergeCell ref="A5:C5"/>
    <x:mergeCell ref="A6:C8"/>
    <x:mergeCell ref="E5:G5"/>
    <x:mergeCell ref="E6:G8"/>
    <x:mergeCell ref="I5:K5"/>
    <x:mergeCell ref="I6:K8"/>
    <x:mergeCell ref="M5:O5"/>
    <x:mergeCell ref="M6:O8"/>
    <x:mergeCell ref="A10:O10"/>
    <x:mergeCell ref="A12:O12"/>
    <x:mergeCell ref="J14:O14"/>
    <x:mergeCell ref="J16:M16"/>
    <x:mergeCell ref="N16:O16"/>
    <x:mergeCell ref="J18:M18"/>
    <x:mergeCell ref="N18:O18"/>
    <x:mergeCell ref="J20:M20"/>
    <x:mergeCell ref="N20:O20"/>
    <x:mergeCell ref="J22:M22"/>
    <x:mergeCell ref="N22:O22"/>
    <x:mergeCell ref="J24:M24"/>
    <x:mergeCell ref="N24:O24"/>
    <x:mergeCell ref="J26:M26"/>
    <x:mergeCell ref="N26:O26"/>
    <x:mergeCell ref="A28:O28"/>
    <x:mergeCell ref="A47:O47"/>
    <x:mergeCell ref="A49:O49"/>
    <x:mergeCell ref="A50:O50"/>
    <x:mergeCell ref="A51:O51"/>
    <x:mergeCell ref="A52:O52"/>
  </x:mergeCells>
  <x:conditionalFormatting sqref="G15:G26">
    <x:cfRule type="cellIs" dxfId="4" priority="1" operator="lessThan">
      <x:formula>0</x:formula>
    </x:cfRule>
    <x:cfRule type="cellIs" dxfId="5" priority="2" operator="greaterThanOrEqual">
      <x:formula>0</x:formula>
    </x:cfRule>
  </x:conditionalFormatting>
  <x:pageMargins left="0.7" right="0.7" top="0.75" bottom="0.75" header="0.3" footer="0.3"/>
  <x:drawing xmlns:r="http://schemas.openxmlformats.org/officeDocument/2006/relationships" r:id="R597bd9117b744908"/>
</x:worksheet>
</file>

<file path=xl/worksheets/sheet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9" hidden="0" customWidth="1"/>
    <x:col min="2" max="2" width="16" hidden="0" customWidth="1"/>
    <x:col min="3" max="3" width="16" hidden="0" customWidth="1"/>
    <x:col min="4" max="4" width="16" hidden="0" customWidth="1"/>
    <x:col min="5" max="5" width="18" hidden="0" customWidth="1"/>
    <x:col min="6" max="6" width="16" hidden="0" customWidth="1"/>
    <x:col min="7" max="7" width="18"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4" customHeight="1">
      <x:c r="A1" s="25" t="str">
        <x:v>MONTHLY MANAGEMENT P&amp;L</x:v>
      </x:c>
      <x:c r="B1" s="25"/>
      <x:c r="C1" s="25"/>
      <x:c r="D1" s="25"/>
      <x:c r="E1" s="25"/>
      <x:c r="F1" s="25"/>
      <x:c r="G1" s="25"/>
      <x:c r="H1" s="25"/>
      <x:c r="I1" s="25"/>
      <x:c r="J1" s="25"/>
      <x:c r="K1" s="25"/>
      <x:c r="L1" s="25"/>
      <x:c r="M1" s="25"/>
      <x:c r="N1" s="25"/>
      <x:c r="O1" s="25"/>
    </x:row>
    <x:row r="2" ht="24" customHeight="1">
      <x:c r="A2" s="25"/>
      <x:c r="B2" s="25"/>
      <x:c r="C2" s="25"/>
      <x:c r="D2" s="25"/>
      <x:c r="E2" s="25"/>
      <x:c r="F2" s="25"/>
      <x:c r="G2" s="25"/>
      <x:c r="H2" s="25"/>
      <x:c r="I2" s="25"/>
      <x:c r="J2" s="25"/>
      <x:c r="K2" s="25"/>
      <x:c r="L2" s="25"/>
      <x:c r="M2" s="25"/>
      <x:c r="N2" s="25"/>
      <x:c r="O2" s="25"/>
    </x:row>
    <x:row r="3" ht="25" customHeight="1">
      <x:c r="A3" s="28" t="str">
        <x:v>FY2025 | Fictional services business | ₹ INR | Actual vs Budget, operating EBITDA before interest, tax, depreciation and amortization</x:v>
      </x:c>
      <x:c r="B3" s="28"/>
      <x:c r="C3" s="28"/>
      <x:c r="D3" s="28"/>
      <x:c r="E3" s="28"/>
      <x:c r="F3" s="28"/>
      <x:c r="G3" s="28"/>
      <x:c r="H3" s="28"/>
      <x:c r="I3" s="28"/>
      <x:c r="J3" s="28"/>
      <x:c r="K3" s="28"/>
      <x:c r="L3" s="28"/>
      <x:c r="M3" s="28"/>
      <x:c r="N3" s="28"/>
      <x:c r="O3" s="28"/>
    </x:row>
    <x:row r="6" ht="36" customHeight="1">
      <x:c r="A6" s="32" t="str">
        <x:v>Month</x:v>
      </x:c>
      <x:c r="B6" s="32" t="str">
        <x:v>Revenue</x:v>
      </x:c>
      <x:c r="C6" s="32" t="str">
        <x:v>COGS</x:v>
      </x:c>
      <x:c r="D6" s="32" t="str">
        <x:v>Gross profit</x:v>
      </x:c>
      <x:c r="E6" s="32" t="str">
        <x:v>Operating costs</x:v>
      </x:c>
      <x:c r="F6" s="32" t="str">
        <x:v>EBITDA</x:v>
      </x:c>
      <x:c r="G6" s="32" t="str">
        <x:v>EBITDA margin</x:v>
      </x:c>
      <x:c r="H6" s="32" t="str">
        <x:v>Budget revenue</x:v>
      </x:c>
      <x:c r="I6" s="32" t="str">
        <x:v>Budget COGS</x:v>
      </x:c>
      <x:c r="J6" s="32" t="str">
        <x:v>Budget Opex</x:v>
      </x:c>
      <x:c r="K6" s="32" t="str">
        <x:v>Budget EBITDA</x:v>
      </x:c>
      <x:c r="L6" s="32" t="str">
        <x:v>EBITDA variance</x:v>
      </x:c>
      <x:c r="M6" s="32" t="str">
        <x:v>Revenue variance %</x:v>
      </x:c>
      <x:c r="N6" s="32" t="str">
        <x:v>Budget EBITDA %</x:v>
      </x:c>
      <x:c r="O6" s="32" t="str">
        <x:v>Profit vs plan %</x:v>
      </x:c>
    </x:row>
    <x:row r="7" ht="23" customHeight="1">
      <x:c r="A7" s="20" t="str">
        <x:v>2025-01</x:v>
      </x:c>
      <x:c r="B7" s="16" t="n">
        <x:f>SUMIFS('Actual Data'!$D$7:$D$126,'Actual Data'!$A$7:$A$126,$A7,'Actual Data'!$C$7:$C$126,"Revenue")</x:f>
        <x:v>1249700</x:v>
      </x:c>
      <x:c r="C7" s="16" t="n">
        <x:f>SUMIFS('Actual Data'!$D$7:$D$126,'Actual Data'!$A$7:$A$126,$A7,'Actual Data'!$C$7:$C$126,"COGS")</x:f>
        <x:v>373900</x:v>
      </x:c>
      <x:c r="D7" s="16" t="n">
        <x:f>B7-C7</x:f>
        <x:v>875800</x:v>
      </x:c>
      <x:c r="E7" s="16" t="n">
        <x:f>SUMIFS('Actual Data'!$D$7:$D$126,'Actual Data'!$A$7:$A$126,$A7,'Actual Data'!$C$7:$C$126,"Opex")</x:f>
        <x:v>388100</x:v>
      </x:c>
      <x:c r="F7" s="16" t="n">
        <x:f>D7-E7</x:f>
        <x:v>487700</x:v>
      </x:c>
      <x:c r="G7" s="36" t="n">
        <x:f>IFERROR(F7/B7,0)</x:f>
        <x:v>0.39025366087861085</x:v>
      </x:c>
      <x:c r="H7" s="16" t="n">
        <x:f>SUMIFS('Budget Data'!$D$7:$D$126,'Budget Data'!$A$7:$A$126,$A7,'Budget Data'!$C$7:$C$126,"Revenue")</x:f>
        <x:v>1174400</x:v>
      </x:c>
      <x:c r="I7" s="16" t="n">
        <x:f>SUMIFS('Budget Data'!$D$7:$D$126,'Budget Data'!$A$7:$A$126,$A7,'Budget Data'!$C$7:$C$126,"COGS")</x:f>
        <x:v>363800</x:v>
      </x:c>
      <x:c r="J7" s="16" t="n">
        <x:f>SUMIFS('Budget Data'!$D$7:$D$126,'Budget Data'!$A$7:$A$126,$A7,'Budget Data'!$C$7:$C$126,"Opex")</x:f>
        <x:v>397000</x:v>
      </x:c>
      <x:c r="K7" s="16" t="n">
        <x:f>H7-I7-J7</x:f>
        <x:v>413600</x:v>
      </x:c>
      <x:c r="L7" s="16" t="n">
        <x:f>F7-K7</x:f>
        <x:v>74100</x:v>
      </x:c>
      <x:c r="M7" s="36" t="n">
        <x:f>IFERROR((B7-H7)/H7,0)</x:f>
        <x:v>0.06411784741144415</x:v>
      </x:c>
      <x:c r="N7" s="36" t="n">
        <x:f>IFERROR(K7/H7,0)</x:f>
        <x:v>0.3521798365122616</x:v>
      </x:c>
      <x:c r="O7" s="36" t="n">
        <x:f>IFERROR((F7-K7)/ABS(K7),0)</x:f>
        <x:v>0.1791586073500967</x:v>
      </x:c>
    </x:row>
    <x:row r="8" ht="23" customHeight="1">
      <x:c r="A8" s="20" t="str">
        <x:v>2025-02</x:v>
      </x:c>
      <x:c r="B8" s="16" t="n">
        <x:f>SUMIFS('Actual Data'!$D$7:$D$126,'Actual Data'!$A$7:$A$126,$A8,'Actual Data'!$C$7:$C$126,"Revenue")</x:f>
        <x:v>1288300</x:v>
      </x:c>
      <x:c r="C8" s="16" t="n">
        <x:f>SUMIFS('Actual Data'!$D$7:$D$126,'Actual Data'!$A$7:$A$126,$A8,'Actual Data'!$C$7:$C$126,"COGS")</x:f>
        <x:v>370100</x:v>
      </x:c>
      <x:c r="D8" s="16" t="n">
        <x:f>B8-C8</x:f>
        <x:v>918200</x:v>
      </x:c>
      <x:c r="E8" s="16" t="n">
        <x:f>SUMIFS('Actual Data'!$D$7:$D$126,'Actual Data'!$A$7:$A$126,$A8,'Actual Data'!$C$7:$C$126,"Opex")</x:f>
        <x:v>389500</x:v>
      </x:c>
      <x:c r="F8" s="16" t="n">
        <x:f>D8-E8</x:f>
        <x:v>528700</x:v>
      </x:c>
      <x:c r="G8" s="36" t="n">
        <x:f>IFERROR(F8/B8,0)</x:f>
        <x:v>0.4103857797096949</x:v>
      </x:c>
      <x:c r="H8" s="16" t="n">
        <x:f>SUMIFS('Budget Data'!$D$7:$D$126,'Budget Data'!$A$7:$A$126,$A8,'Budget Data'!$C$7:$C$126,"Revenue")</x:f>
        <x:v>1229300</x:v>
      </x:c>
      <x:c r="I8" s="16" t="n">
        <x:f>SUMIFS('Budget Data'!$D$7:$D$126,'Budget Data'!$A$7:$A$126,$A8,'Budget Data'!$C$7:$C$126,"COGS")</x:f>
        <x:v>378200</x:v>
      </x:c>
      <x:c r="J8" s="16" t="n">
        <x:f>SUMIFS('Budget Data'!$D$7:$D$126,'Budget Data'!$A$7:$A$126,$A8,'Budget Data'!$C$7:$C$126,"Opex")</x:f>
        <x:v>410400</x:v>
      </x:c>
      <x:c r="K8" s="16" t="n">
        <x:f>H8-I8-J8</x:f>
        <x:v>440700</x:v>
      </x:c>
      <x:c r="L8" s="16" t="n">
        <x:f>F8-K8</x:f>
        <x:v>88000</x:v>
      </x:c>
      <x:c r="M8" s="36" t="n">
        <x:f>IFERROR((B8-H8)/H8,0)</x:f>
        <x:v>0.04799479378508094</x:v>
      </x:c>
      <x:c r="N8" s="36" t="n">
        <x:f>IFERROR(K8/H8,0)</x:f>
        <x:v>0.35849670544212153</x:v>
      </x:c>
      <x:c r="O8" s="36" t="n">
        <x:f>IFERROR((F8-K8)/ABS(K8),0)</x:f>
        <x:v>0.1996823235761289</x:v>
      </x:c>
    </x:row>
    <x:row r="9" ht="23" customHeight="1">
      <x:c r="A9" s="20" t="str">
        <x:v>2025-03</x:v>
      </x:c>
      <x:c r="B9" s="16" t="n">
        <x:f>SUMIFS('Actual Data'!$D$7:$D$126,'Actual Data'!$A$7:$A$126,$A9,'Actual Data'!$C$7:$C$126,"Revenue")</x:f>
        <x:v>1275800</x:v>
      </x:c>
      <x:c r="C9" s="16" t="n">
        <x:f>SUMIFS('Actual Data'!$D$7:$D$126,'Actual Data'!$A$7:$A$126,$A9,'Actual Data'!$C$7:$C$126,"COGS")</x:f>
        <x:v>366700</x:v>
      </x:c>
      <x:c r="D9" s="16" t="n">
        <x:f>B9-C9</x:f>
        <x:v>909100</x:v>
      </x:c>
      <x:c r="E9" s="16" t="n">
        <x:f>SUMIFS('Actual Data'!$D$7:$D$126,'Actual Data'!$A$7:$A$126,$A9,'Actual Data'!$C$7:$C$126,"Opex")</x:f>
        <x:v>403600</x:v>
      </x:c>
      <x:c r="F9" s="16" t="n">
        <x:f>D9-E9</x:f>
        <x:v>505500</x:v>
      </x:c>
      <x:c r="G9" s="36" t="n">
        <x:f>IFERROR(F9/B9,0)</x:f>
        <x:v>0.3962219783665151</x:v>
      </x:c>
      <x:c r="H9" s="16" t="n">
        <x:f>SUMIFS('Budget Data'!$D$7:$D$126,'Budget Data'!$A$7:$A$126,$A9,'Budget Data'!$C$7:$C$126,"Revenue")</x:f>
        <x:v>1280400</x:v>
      </x:c>
      <x:c r="I9" s="16" t="n">
        <x:f>SUMIFS('Budget Data'!$D$7:$D$126,'Budget Data'!$A$7:$A$126,$A9,'Budget Data'!$C$7:$C$126,"COGS")</x:f>
        <x:v>390900</x:v>
      </x:c>
      <x:c r="J9" s="16" t="n">
        <x:f>SUMIFS('Budget Data'!$D$7:$D$126,'Budget Data'!$A$7:$A$126,$A9,'Budget Data'!$C$7:$C$126,"Opex")</x:f>
        <x:v>423200</x:v>
      </x:c>
      <x:c r="K9" s="16" t="n">
        <x:f>H9-I9-J9</x:f>
        <x:v>466300</x:v>
      </x:c>
      <x:c r="L9" s="16" t="n">
        <x:f>F9-K9</x:f>
        <x:v>39200</x:v>
      </x:c>
      <x:c r="M9" s="36" t="n">
        <x:f>IFERROR((B9-H9)/H9,0)</x:f>
        <x:v>-0.00359262730396751</x:v>
      </x:c>
      <x:c r="N9" s="36" t="n">
        <x:f>IFERROR(K9/H9,0)</x:f>
        <x:v>0.3641830677913152</x:v>
      </x:c>
      <x:c r="O9" s="36" t="n">
        <x:f>IFERROR((F9-K9)/ABS(K9),0)</x:f>
        <x:v>0.0840660518979198</x:v>
      </x:c>
    </x:row>
    <x:row r="10" ht="23" customHeight="1">
      <x:c r="A10" s="20" t="str">
        <x:v>2025-04</x:v>
      </x:c>
      <x:c r="B10" s="16" t="n">
        <x:f>SUMIFS('Actual Data'!$D$7:$D$126,'Actual Data'!$A$7:$A$126,$A10,'Actual Data'!$C$7:$C$126,"Revenue")</x:f>
        <x:v>1253800</x:v>
      </x:c>
      <x:c r="C10" s="16" t="n">
        <x:f>SUMIFS('Actual Data'!$D$7:$D$126,'Actual Data'!$A$7:$A$126,$A10,'Actual Data'!$C$7:$C$126,"COGS")</x:f>
        <x:v>377500</x:v>
      </x:c>
      <x:c r="D10" s="16" t="n">
        <x:f>B10-C10</x:f>
        <x:v>876300</x:v>
      </x:c>
      <x:c r="E10" s="16" t="n">
        <x:f>SUMIFS('Actual Data'!$D$7:$D$126,'Actual Data'!$A$7:$A$126,$A10,'Actual Data'!$C$7:$C$126,"Opex")</x:f>
        <x:v>435200</x:v>
      </x:c>
      <x:c r="F10" s="16" t="n">
        <x:f>D10-E10</x:f>
        <x:v>441100</x:v>
      </x:c>
      <x:c r="G10" s="36" t="n">
        <x:f>IFERROR(F10/B10,0)</x:f>
        <x:v>0.3518104960918807</x:v>
      </x:c>
      <x:c r="H10" s="16" t="n">
        <x:f>SUMIFS('Budget Data'!$D$7:$D$126,'Budget Data'!$A$7:$A$126,$A10,'Budget Data'!$C$7:$C$126,"Revenue")</x:f>
        <x:v>1325700</x:v>
      </x:c>
      <x:c r="I10" s="16" t="n">
        <x:f>SUMIFS('Budget Data'!$D$7:$D$126,'Budget Data'!$A$7:$A$126,$A10,'Budget Data'!$C$7:$C$126,"COGS")</x:f>
        <x:v>402400</x:v>
      </x:c>
      <x:c r="J10" s="16" t="n">
        <x:f>SUMIFS('Budget Data'!$D$7:$D$126,'Budget Data'!$A$7:$A$126,$A10,'Budget Data'!$C$7:$C$126,"Opex")</x:f>
        <x:v>436000</x:v>
      </x:c>
      <x:c r="K10" s="16" t="n">
        <x:f>H10-I10-J10</x:f>
        <x:v>487300</x:v>
      </x:c>
      <x:c r="L10" s="16" t="n">
        <x:f>F10-K10</x:f>
        <x:v>-46200</x:v>
      </x:c>
      <x:c r="M10" s="36" t="n">
        <x:f>IFERROR((B10-H10)/H10,0)</x:f>
        <x:v>-0.05423549822735159</x:v>
      </x:c>
      <x:c r="N10" s="36" t="n">
        <x:f>IFERROR(K10/H10,0)</x:f>
        <x:v>0.36757939201931056</x:v>
      </x:c>
      <x:c r="O10" s="36" t="n">
        <x:f>IFERROR((F10-K10)/ABS(K10),0)</x:f>
        <x:v>-0.09480812641083522</x:v>
      </x:c>
    </x:row>
    <x:row r="11" ht="23" customHeight="1">
      <x:c r="A11" s="20" t="str">
        <x:v>2025-05</x:v>
      </x:c>
      <x:c r="B11" s="16" t="n">
        <x:f>SUMIFS('Actual Data'!$D$7:$D$126,'Actual Data'!$A$7:$A$126,$A11,'Actual Data'!$C$7:$C$126,"Revenue")</x:f>
        <x:v>1273200</x:v>
      </x:c>
      <x:c r="C11" s="16" t="n">
        <x:f>SUMIFS('Actual Data'!$D$7:$D$126,'Actual Data'!$A$7:$A$126,$A11,'Actual Data'!$C$7:$C$126,"COGS")</x:f>
        <x:v>408100</x:v>
      </x:c>
      <x:c r="D11" s="16" t="n">
        <x:f>B11-C11</x:f>
        <x:v>865100</x:v>
      </x:c>
      <x:c r="E11" s="16" t="n">
        <x:f>SUMIFS('Actual Data'!$D$7:$D$126,'Actual Data'!$A$7:$A$126,$A11,'Actual Data'!$C$7:$C$126,"Opex")</x:f>
        <x:v>475700</x:v>
      </x:c>
      <x:c r="F11" s="16" t="n">
        <x:f>D11-E11</x:f>
        <x:v>389400</x:v>
      </x:c>
      <x:c r="G11" s="36" t="n">
        <x:f>IFERROR(F11/B11,0)</x:f>
        <x:v>0.3058435438265787</x:v>
      </x:c>
      <x:c r="H11" s="16" t="n">
        <x:f>SUMIFS('Budget Data'!$D$7:$D$126,'Budget Data'!$A$7:$A$126,$A11,'Budget Data'!$C$7:$C$126,"Revenue")</x:f>
        <x:v>1365200</x:v>
      </x:c>
      <x:c r="I11" s="16" t="n">
        <x:f>SUMIFS('Budget Data'!$D$7:$D$126,'Budget Data'!$A$7:$A$126,$A11,'Budget Data'!$C$7:$C$126,"COGS")</x:f>
        <x:v>413500</x:v>
      </x:c>
      <x:c r="J11" s="16" t="n">
        <x:f>SUMIFS('Budget Data'!$D$7:$D$126,'Budget Data'!$A$7:$A$126,$A11,'Budget Data'!$C$7:$C$126,"Opex")</x:f>
        <x:v>450300</x:v>
      </x:c>
      <x:c r="K11" s="16" t="n">
        <x:f>H11-I11-J11</x:f>
        <x:v>501400</x:v>
      </x:c>
      <x:c r="L11" s="16" t="n">
        <x:f>F11-K11</x:f>
        <x:v>-112000</x:v>
      </x:c>
      <x:c r="M11" s="36" t="n">
        <x:f>IFERROR((B11-H11)/H11,0)</x:f>
        <x:v>-0.06738939349545854</x:v>
      </x:c>
      <x:c r="N11" s="36" t="n">
        <x:f>IFERROR(K11/H11,0)</x:f>
        <x:v>0.36727219455024906</x:v>
      </x:c>
      <x:c r="O11" s="36" t="n">
        <x:f>IFERROR((F11-K11)/ABS(K11),0)</x:f>
        <x:v>-0.22337455125648184</x:v>
      </x:c>
    </x:row>
    <x:row r="12" ht="23" customHeight="1">
      <x:c r="A12" s="20" t="str">
        <x:v>2025-06</x:v>
      </x:c>
      <x:c r="B12" s="16" t="n">
        <x:f>SUMIFS('Actual Data'!$D$7:$D$126,'Actual Data'!$A$7:$A$126,$A12,'Actual Data'!$C$7:$C$126,"Revenue")</x:f>
        <x:v>1359500</x:v>
      </x:c>
      <x:c r="C12" s="16" t="n">
        <x:f>SUMIFS('Actual Data'!$D$7:$D$126,'Actual Data'!$A$7:$A$126,$A12,'Actual Data'!$C$7:$C$126,"COGS")</x:f>
        <x:v>449900</x:v>
      </x:c>
      <x:c r="D12" s="16" t="n">
        <x:f>B12-C12</x:f>
        <x:v>909600</x:v>
      </x:c>
      <x:c r="E12" s="16" t="n">
        <x:f>SUMIFS('Actual Data'!$D$7:$D$126,'Actual Data'!$A$7:$A$126,$A12,'Actual Data'!$C$7:$C$126,"Opex")</x:f>
        <x:v>508400</x:v>
      </x:c>
      <x:c r="F12" s="16" t="n">
        <x:f>D12-E12</x:f>
        <x:v>401200</x:v>
      </x:c>
      <x:c r="G12" s="36" t="n">
        <x:f>IFERROR(F12/B12,0)</x:f>
        <x:v>0.29510849577050385</x:v>
      </x:c>
      <x:c r="H12" s="16" t="n">
        <x:f>SUMIFS('Budget Data'!$D$7:$D$126,'Budget Data'!$A$7:$A$126,$A12,'Budget Data'!$C$7:$C$126,"Revenue")</x:f>
        <x:v>1401400</x:v>
      </x:c>
      <x:c r="I12" s="16" t="n">
        <x:f>SUMIFS('Budget Data'!$D$7:$D$126,'Budget Data'!$A$7:$A$126,$A12,'Budget Data'!$C$7:$C$126,"COGS")</x:f>
        <x:v>425400</x:v>
      </x:c>
      <x:c r="J12" s="16" t="n">
        <x:f>SUMIFS('Budget Data'!$D$7:$D$126,'Budget Data'!$A$7:$A$126,$A12,'Budget Data'!$C$7:$C$126,"Opex")</x:f>
        <x:v>466500</x:v>
      </x:c>
      <x:c r="K12" s="16" t="n">
        <x:f>H12-I12-J12</x:f>
        <x:v>509500</x:v>
      </x:c>
      <x:c r="L12" s="16" t="n">
        <x:f>F12-K12</x:f>
        <x:v>-108300</x:v>
      </x:c>
      <x:c r="M12" s="36" t="n">
        <x:f>IFERROR((B12-H12)/H12,0)</x:f>
        <x:v>-0.029898672755815613</x:v>
      </x:c>
      <x:c r="N12" s="36" t="n">
        <x:f>IFERROR(K12/H12,0)</x:f>
        <x:v>0.3635650064221493</x:v>
      </x:c>
      <x:c r="O12" s="36" t="n">
        <x:f>IFERROR((F12-K12)/ABS(K12),0)</x:f>
        <x:v>-0.21256133464180568</x:v>
      </x:c>
    </x:row>
    <x:row r="13" ht="23" customHeight="1">
      <x:c r="A13" s="20" t="str">
        <x:v>2025-07</x:v>
      </x:c>
      <x:c r="B13" s="16" t="n">
        <x:f>SUMIFS('Actual Data'!$D$7:$D$126,'Actual Data'!$A$7:$A$126,$A13,'Actual Data'!$C$7:$C$126,"Revenue")</x:f>
        <x:v>1492400</x:v>
      </x:c>
      <x:c r="C13" s="16" t="n">
        <x:f>SUMIFS('Actual Data'!$D$7:$D$126,'Actual Data'!$A$7:$A$126,$A13,'Actual Data'!$C$7:$C$126,"COGS")</x:f>
        <x:v>484700</x:v>
      </x:c>
      <x:c r="D13" s="16" t="n">
        <x:f>B13-C13</x:f>
        <x:v>1007700</x:v>
      </x:c>
      <x:c r="E13" s="16" t="n">
        <x:f>SUMIFS('Actual Data'!$D$7:$D$126,'Actual Data'!$A$7:$A$126,$A13,'Actual Data'!$C$7:$C$126,"Opex")</x:f>
        <x:v>520300</x:v>
      </x:c>
      <x:c r="F13" s="16" t="n">
        <x:f>D13-E13</x:f>
        <x:v>487400</x:v>
      </x:c>
      <x:c r="G13" s="36" t="n">
        <x:f>IFERROR(F13/B13,0)</x:f>
        <x:v>0.3265880461002412</x:v>
      </x:c>
      <x:c r="H13" s="16" t="n">
        <x:f>SUMIFS('Budget Data'!$D$7:$D$126,'Budget Data'!$A$7:$A$126,$A13,'Budget Data'!$C$7:$C$126,"Revenue")</x:f>
        <x:v>1437700</x:v>
      </x:c>
      <x:c r="I13" s="16" t="n">
        <x:f>SUMIFS('Budget Data'!$D$7:$D$126,'Budget Data'!$A$7:$A$126,$A13,'Budget Data'!$C$7:$C$126,"COGS")</x:f>
        <x:v>439100</x:v>
      </x:c>
      <x:c r="J13" s="16" t="n">
        <x:f>SUMIFS('Budget Data'!$D$7:$D$126,'Budget Data'!$A$7:$A$126,$A13,'Budget Data'!$C$7:$C$126,"Opex")</x:f>
        <x:v>484300</x:v>
      </x:c>
      <x:c r="K13" s="16" t="n">
        <x:f>H13-I13-J13</x:f>
        <x:v>514300</x:v>
      </x:c>
      <x:c r="L13" s="16" t="n">
        <x:f>F13-K13</x:f>
        <x:v>-26900</x:v>
      </x:c>
      <x:c r="M13" s="36" t="n">
        <x:f>IFERROR((B13-H13)/H13,0)</x:f>
        <x:v>0.03804688043402657</x:v>
      </x:c>
      <x:c r="N13" s="36" t="n">
        <x:f>IFERROR(K13/H13,0)</x:f>
        <x:v>0.35772414272796826</x:v>
      </x:c>
      <x:c r="O13" s="36" t="n">
        <x:f>IFERROR((F13-K13)/ABS(K13),0)</x:f>
        <x:v>-0.0523041026638149</x:v>
      </x:c>
    </x:row>
    <x:row r="14" ht="23" customHeight="1">
      <x:c r="A14" s="20" t="str">
        <x:v>2025-08</x:v>
      </x:c>
      <x:c r="B14" s="16" t="n">
        <x:f>SUMIFS('Actual Data'!$D$7:$D$126,'Actual Data'!$A$7:$A$126,$A14,'Actual Data'!$C$7:$C$126,"Revenue")</x:f>
        <x:v>1615900</x:v>
      </x:c>
      <x:c r="C14" s="16" t="n">
        <x:f>SUMIFS('Actual Data'!$D$7:$D$126,'Actual Data'!$A$7:$A$126,$A14,'Actual Data'!$C$7:$C$126,"COGS")</x:f>
        <x:v>497400</x:v>
      </x:c>
      <x:c r="D14" s="16" t="n">
        <x:f>B14-C14</x:f>
        <x:v>1118500</x:v>
      </x:c>
      <x:c r="E14" s="16" t="n">
        <x:f>SUMIFS('Actual Data'!$D$7:$D$126,'Actual Data'!$A$7:$A$126,$A14,'Actual Data'!$C$7:$C$126,"Opex")</x:f>
        <x:v>513000</x:v>
      </x:c>
      <x:c r="F14" s="16" t="n">
        <x:f>D14-E14</x:f>
        <x:v>605500</x:v>
      </x:c>
      <x:c r="G14" s="36" t="n">
        <x:f>IFERROR(F14/B14,0)</x:f>
        <x:v>0.3747137817934278</x:v>
      </x:c>
      <x:c r="H14" s="16" t="n">
        <x:f>SUMIFS('Budget Data'!$D$7:$D$126,'Budget Data'!$A$7:$A$126,$A14,'Budget Data'!$C$7:$C$126,"Revenue")</x:f>
        <x:v>1478200</x:v>
      </x:c>
      <x:c r="I14" s="16" t="n">
        <x:f>SUMIFS('Budget Data'!$D$7:$D$126,'Budget Data'!$A$7:$A$126,$A14,'Budget Data'!$C$7:$C$126,"COGS")</x:f>
        <x:v>454900</x:v>
      </x:c>
      <x:c r="J14" s="16" t="n">
        <x:f>SUMIFS('Budget Data'!$D$7:$D$126,'Budget Data'!$A$7:$A$126,$A14,'Budget Data'!$C$7:$C$126,"Opex")</x:f>
        <x:v>503700</x:v>
      </x:c>
      <x:c r="K14" s="16" t="n">
        <x:f>H14-I14-J14</x:f>
        <x:v>519600</x:v>
      </x:c>
      <x:c r="L14" s="16" t="n">
        <x:f>F14-K14</x:f>
        <x:v>85900</x:v>
      </x:c>
      <x:c r="M14" s="36" t="n">
        <x:f>IFERROR((B14-H14)/H14,0)</x:f>
        <x:v>0.09315383574617779</x:v>
      </x:c>
      <x:c r="N14" s="36" t="n">
        <x:f>IFERROR(K14/H14,0)</x:f>
        <x:v>0.3515085915302395</x:v>
      </x:c>
      <x:c r="O14" s="36" t="n">
        <x:f>IFERROR((F14-K14)/ABS(K14),0)</x:f>
        <x:v>0.1653194765204003</x:v>
      </x:c>
    </x:row>
    <x:row r="15" ht="23" customHeight="1">
      <x:c r="A15" s="20" t="str">
        <x:v>2025-09</x:v>
      </x:c>
      <x:c r="B15" s="16" t="n">
        <x:f>SUMIFS('Actual Data'!$D$7:$D$126,'Actual Data'!$A$7:$A$126,$A15,'Actual Data'!$C$7:$C$126,"Revenue")</x:f>
        <x:v>1676500</x:v>
      </x:c>
      <x:c r="C15" s="16" t="n">
        <x:f>SUMIFS('Actual Data'!$D$7:$D$126,'Actual Data'!$A$7:$A$126,$A15,'Actual Data'!$C$7:$C$126,"COGS")</x:f>
        <x:v>488700</x:v>
      </x:c>
      <x:c r="D15" s="16" t="n">
        <x:f>B15-C15</x:f>
        <x:v>1187800</x:v>
      </x:c>
      <x:c r="E15" s="16" t="n">
        <x:f>SUMIFS('Actual Data'!$D$7:$D$126,'Actual Data'!$A$7:$A$126,$A15,'Actual Data'!$C$7:$C$126,"Opex")</x:f>
        <x:v>503100</x:v>
      </x:c>
      <x:c r="F15" s="16" t="n">
        <x:f>D15-E15</x:f>
        <x:v>684700</x:v>
      </x:c>
      <x:c r="G15" s="36" t="n">
        <x:f>IFERROR(F15/B15,0)</x:f>
        <x:v>0.4084103787652848</x:v>
      </x:c>
      <x:c r="H15" s="16" t="n">
        <x:f>SUMIFS('Budget Data'!$D$7:$D$126,'Budget Data'!$A$7:$A$126,$A15,'Budget Data'!$C$7:$C$126,"Revenue")</x:f>
        <x:v>1525200</x:v>
      </x:c>
      <x:c r="I15" s="16" t="n">
        <x:f>SUMIFS('Budget Data'!$D$7:$D$126,'Budget Data'!$A$7:$A$126,$A15,'Budget Data'!$C$7:$C$126,"COGS")</x:f>
        <x:v>472600</x:v>
      </x:c>
      <x:c r="J15" s="16" t="n">
        <x:f>SUMIFS('Budget Data'!$D$7:$D$126,'Budget Data'!$A$7:$A$126,$A15,'Budget Data'!$C$7:$C$126,"Opex")</x:f>
        <x:v>523000</x:v>
      </x:c>
      <x:c r="K15" s="16" t="n">
        <x:f>H15-I15-J15</x:f>
        <x:v>529600</x:v>
      </x:c>
      <x:c r="L15" s="16" t="n">
        <x:f>F15-K15</x:f>
        <x:v>155100</x:v>
      </x:c>
      <x:c r="M15" s="36" t="n">
        <x:f>IFERROR((B15-H15)/H15,0)</x:f>
        <x:v>0.09920010490427485</x:v>
      </x:c>
      <x:c r="N15" s="36" t="n">
        <x:f>IFERROR(K15/H15,0)</x:f>
        <x:v>0.34723314975085234</x:v>
      </x:c>
      <x:c r="O15" s="36" t="n">
        <x:f>IFERROR((F15-K15)/ABS(K15),0)</x:f>
        <x:v>0.29286253776435045</x:v>
      </x:c>
    </x:row>
    <x:row r="16" ht="23" customHeight="1">
      <x:c r="A16" s="20" t="str">
        <x:v>2025-10</x:v>
      </x:c>
      <x:c r="B16" s="16" t="n">
        <x:f>SUMIFS('Actual Data'!$D$7:$D$126,'Actual Data'!$A$7:$A$126,$A16,'Actual Data'!$C$7:$C$126,"Revenue")</x:f>
        <x:v>1664500</x:v>
      </x:c>
      <x:c r="C16" s="16" t="n">
        <x:f>SUMIFS('Actual Data'!$D$7:$D$126,'Actual Data'!$A$7:$A$126,$A16,'Actual Data'!$C$7:$C$126,"COGS")</x:f>
        <x:v>475300</x:v>
      </x:c>
      <x:c r="D16" s="16" t="n">
        <x:f>B16-C16</x:f>
        <x:v>1189200</x:v>
      </x:c>
      <x:c r="E16" s="16" t="n">
        <x:f>SUMIFS('Actual Data'!$D$7:$D$126,'Actual Data'!$A$7:$A$126,$A16,'Actual Data'!$C$7:$C$126,"Opex")</x:f>
        <x:v>509400</x:v>
      </x:c>
      <x:c r="F16" s="16" t="n">
        <x:f>D16-E16</x:f>
        <x:v>679800</x:v>
      </x:c>
      <x:c r="G16" s="36" t="n">
        <x:f>IFERROR(F16/B16,0)</x:f>
        <x:v>0.4084109342144788</x:v>
      </x:c>
      <x:c r="H16" s="16" t="n">
        <x:f>SUMIFS('Budget Data'!$D$7:$D$126,'Budget Data'!$A$7:$A$126,$A16,'Budget Data'!$C$7:$C$126,"Revenue")</x:f>
        <x:v>1579300</x:v>
      </x:c>
      <x:c r="I16" s="16" t="n">
        <x:f>SUMIFS('Budget Data'!$D$7:$D$126,'Budget Data'!$A$7:$A$126,$A16,'Budget Data'!$C$7:$C$126,"COGS")</x:f>
        <x:v>490900</x:v>
      </x:c>
      <x:c r="J16" s="16" t="n">
        <x:f>SUMIFS('Budget Data'!$D$7:$D$126,'Budget Data'!$A$7:$A$126,$A16,'Budget Data'!$C$7:$C$126,"Opex")</x:f>
        <x:v>540900</x:v>
      </x:c>
      <x:c r="K16" s="16" t="n">
        <x:f>H16-I16-J16</x:f>
        <x:v>547500</x:v>
      </x:c>
      <x:c r="L16" s="16" t="n">
        <x:f>F16-K16</x:f>
        <x:v>132300</x:v>
      </x:c>
      <x:c r="M16" s="36" t="n">
        <x:f>IFERROR((B16-H16)/H16,0)</x:f>
        <x:v>0.05394795162413728</x:v>
      </x:c>
      <x:c r="N16" s="36" t="n">
        <x:f>IFERROR(K16/H16,0)</x:f>
        <x:v>0.3466725764579244</x:v>
      </x:c>
      <x:c r="O16" s="36" t="n">
        <x:f>IFERROR((F16-K16)/ABS(K16),0)</x:f>
        <x:v>0.24164383561643835</x:v>
      </x:c>
    </x:row>
    <x:row r="17" ht="23" customHeight="1">
      <x:c r="A17" s="20" t="str">
        <x:v>2025-11</x:v>
      </x:c>
      <x:c r="B17" s="16" t="n">
        <x:f>SUMIFS('Actual Data'!$D$7:$D$126,'Actual Data'!$A$7:$A$126,$A17,'Actual Data'!$C$7:$C$126,"Revenue")</x:f>
        <x:v>1624900</x:v>
      </x:c>
      <x:c r="C17" s="16" t="n">
        <x:f>SUMIFS('Actual Data'!$D$7:$D$126,'Actual Data'!$A$7:$A$126,$A17,'Actual Data'!$C$7:$C$126,"COGS")</x:f>
        <x:v>477200</x:v>
      </x:c>
      <x:c r="D17" s="16" t="n">
        <x:f>B17-C17</x:f>
        <x:v>1147700</x:v>
      </x:c>
      <x:c r="E17" s="16" t="n">
        <x:f>SUMIFS('Actual Data'!$D$7:$D$126,'Actual Data'!$A$7:$A$126,$A17,'Actual Data'!$C$7:$C$126,"Opex")</x:f>
        <x:v>540200</x:v>
      </x:c>
      <x:c r="F17" s="16" t="n">
        <x:f>D17-E17</x:f>
        <x:v>607500</x:v>
      </x:c>
      <x:c r="G17" s="36" t="n">
        <x:f>IFERROR(F17/B17,0)</x:f>
        <x:v>0.3738691611791495</x:v>
      </x:c>
      <x:c r="H17" s="16" t="n">
        <x:f>SUMIFS('Budget Data'!$D$7:$D$126,'Budget Data'!$A$7:$A$126,$A17,'Budget Data'!$C$7:$C$126,"Revenue")</x:f>
        <x:v>1637900</x:v>
      </x:c>
      <x:c r="I17" s="16" t="n">
        <x:f>SUMIFS('Budget Data'!$D$7:$D$126,'Budget Data'!$A$7:$A$126,$A17,'Budget Data'!$C$7:$C$126,"COGS")</x:f>
        <x:v>508400</x:v>
      </x:c>
      <x:c r="J17" s="16" t="n">
        <x:f>SUMIFS('Budget Data'!$D$7:$D$126,'Budget Data'!$A$7:$A$126,$A17,'Budget Data'!$C$7:$C$126,"Opex")</x:f>
        <x:v>556700</x:v>
      </x:c>
      <x:c r="K17" s="16" t="n">
        <x:f>H17-I17-J17</x:f>
        <x:v>572800</x:v>
      </x:c>
      <x:c r="L17" s="16" t="n">
        <x:f>F17-K17</x:f>
        <x:v>34700</x:v>
      </x:c>
      <x:c r="M17" s="36" t="n">
        <x:f>IFERROR((B17-H17)/H17,0)</x:f>
        <x:v>-0.007936992490384029</x:v>
      </x:c>
      <x:c r="N17" s="36" t="n">
        <x:f>IFERROR(K17/H17,0)</x:f>
        <x:v>0.3497160998839978</x:v>
      </x:c>
      <x:c r="O17" s="36" t="n">
        <x:f>IFERROR((F17-K17)/ABS(K17),0)</x:f>
        <x:v>0.06057960893854748</x:v>
      </x:c>
    </x:row>
    <x:row r="18" ht="23" customHeight="1">
      <x:c r="A18" s="20" t="str">
        <x:v>2025-12</x:v>
      </x:c>
      <x:c r="B18" s="16" t="n">
        <x:f>SUMIFS('Actual Data'!$D$7:$D$126,'Actual Data'!$A$7:$A$126,$A18,'Actual Data'!$C$7:$C$126,"Revenue")</x:f>
        <x:v>1622000</x:v>
      </x:c>
      <x:c r="C18" s="16" t="n">
        <x:f>SUMIFS('Actual Data'!$D$7:$D$126,'Actual Data'!$A$7:$A$126,$A18,'Actual Data'!$C$7:$C$126,"COGS")</x:f>
        <x:v>503800</x:v>
      </x:c>
      <x:c r="D18" s="16" t="n">
        <x:f>B18-C18</x:f>
        <x:v>1118200</x:v>
      </x:c>
      <x:c r="E18" s="16" t="n">
        <x:f>SUMIFS('Actual Data'!$D$7:$D$126,'Actual Data'!$A$7:$A$126,$A18,'Actual Data'!$C$7:$C$126,"Opex")</x:f>
        <x:v>586900</x:v>
      </x:c>
      <x:c r="F18" s="16" t="n">
        <x:f>D18-E18</x:f>
        <x:v>531300</x:v>
      </x:c>
      <x:c r="G18" s="36" t="n">
        <x:f>IFERROR(F18/B18,0)</x:f>
        <x:v>0.3275585696670777</x:v>
      </x:c>
      <x:c r="H18" s="16" t="n">
        <x:f>SUMIFS('Budget Data'!$D$7:$D$126,'Budget Data'!$A$7:$A$126,$A18,'Budget Data'!$C$7:$C$126,"Revenue")</x:f>
        <x:v>1697500</x:v>
      </x:c>
      <x:c r="I18" s="16" t="n">
        <x:f>SUMIFS('Budget Data'!$D$7:$D$126,'Budget Data'!$A$7:$A$126,$A18,'Budget Data'!$C$7:$C$126,"COGS")</x:f>
        <x:v>524100</x:v>
      </x:c>
      <x:c r="J18" s="16" t="n">
        <x:f>SUMIFS('Budget Data'!$D$7:$D$126,'Budget Data'!$A$7:$A$126,$A18,'Budget Data'!$C$7:$C$126,"Opex")</x:f>
        <x:v>570100</x:v>
      </x:c>
      <x:c r="K18" s="16" t="n">
        <x:f>H18-I18-J18</x:f>
        <x:v>603300</x:v>
      </x:c>
      <x:c r="L18" s="16" t="n">
        <x:f>F18-K18</x:f>
        <x:v>-72000</x:v>
      </x:c>
      <x:c r="M18" s="36" t="n">
        <x:f>IFERROR((B18-H18)/H18,0)</x:f>
        <x:v>-0.04447717231222386</x:v>
      </x:c>
      <x:c r="N18" s="36" t="n">
        <x:f>IFERROR(K18/H18,0)</x:f>
        <x:v>0.35540500736377023</x:v>
      </x:c>
      <x:c r="O18" s="36" t="n">
        <x:f>IFERROR((F18-K18)/ABS(K18),0)</x:f>
        <x:v>-0.11934361014420686</x:v>
      </x:c>
    </x:row>
    <x:row r="19" ht="28" customHeight="1">
      <x:c r="A19" s="41" t="str">
        <x:v>FY2025 TOTAL</x:v>
      </x:c>
      <x:c r="B19" s="42" t="n">
        <x:f>SUM(B7:B18)</x:f>
        <x:v>17396500</x:v>
      </x:c>
      <x:c r="C19" s="42" t="n">
        <x:f>SUM(C7:C18)</x:f>
        <x:v>5273300</x:v>
      </x:c>
      <x:c r="D19" s="42" t="n">
        <x:f>SUM(D7:D18)</x:f>
        <x:v>12123200</x:v>
      </x:c>
      <x:c r="E19" s="42" t="n">
        <x:f>SUM(E7:E18)</x:f>
        <x:v>5773400</x:v>
      </x:c>
      <x:c r="F19" s="42" t="n">
        <x:f>SUM(F7:F18)</x:f>
        <x:v>6349800</x:v>
      </x:c>
      <x:c r="G19" s="43" t="n">
        <x:f>IFERROR(F19/B19,0)</x:f>
        <x:v>0.36500445491909295</x:v>
      </x:c>
      <x:c r="H19" s="42" t="n">
        <x:f>SUM(H7:H18)</x:f>
        <x:v>17132200</x:v>
      </x:c>
      <x:c r="I19" s="42" t="n">
        <x:f>SUM(I7:I18)</x:f>
        <x:v>5264200</x:v>
      </x:c>
      <x:c r="J19" s="42" t="n">
        <x:f>SUM(J7:J18)</x:f>
        <x:v>5762100</x:v>
      </x:c>
      <x:c r="K19" s="42" t="n">
        <x:f>SUM(K7:K18)</x:f>
        <x:v>6105900</x:v>
      </x:c>
      <x:c r="L19" s="42" t="n">
        <x:f>SUM(L7:L18)</x:f>
        <x:v>243900</x:v>
      </x:c>
      <x:c r="M19" s="43" t="n">
        <x:f>IFERROR((B19-H19)/H19,0)</x:f>
        <x:v>0.015427090507932431</x:v>
      </x:c>
      <x:c r="N19" s="43" t="n">
        <x:f>IFERROR(K19/H19,0)</x:f>
        <x:v>0.35639906141651395</x:v>
      </x:c>
      <x:c r="O19" s="43" t="n">
        <x:f>IFERROR((F19-K19)/ABS(K19),0)</x:f>
        <x:v>0.039944971257308504</x:v>
      </x:c>
    </x:row>
  </x:sheetData>
  <x:mergeCells>
    <x:mergeCell ref="A1:O2"/>
    <x:mergeCell ref="A3:O3"/>
  </x:mergeCells>
  <x:conditionalFormatting sqref="L7:L18">
    <x:cfRule type="cellIs" dxfId="0" priority="1" operator="lessThan">
      <x:formula>0</x:formula>
    </x:cfRule>
    <x:cfRule type="cellIs" dxfId="1" priority="2" operator="greaterThanOrEqual">
      <x:formula>0</x:formula>
    </x:cfRule>
  </x:conditionalFormatting>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6" hidden="0" customWidth="1"/>
    <x:col min="2" max="2" width="28" hidden="0" customWidth="1"/>
    <x:col min="3" max="3" width="15" hidden="0" customWidth="1"/>
    <x:col min="4" max="4" width="19" hidden="0" customWidth="1"/>
    <x:col min="5" max="5" width="30" hidden="0" customWidth="1"/>
  </x:cols>
  <x:sheetData>
    <x:row r="1" ht="24" customHeight="1">
      <x:c r="A1" s="4" t="str">
        <x:v>ACTUAL TRANSACTION DATA · FY2025</x:v>
      </x:c>
      <x:c r="B1" s="4"/>
      <x:c r="C1" s="4"/>
      <x:c r="D1" s="4"/>
      <x:c r="E1" s="4"/>
    </x:row>
    <x:row r="2" ht="24" customHeight="1">
      <x:c r="A2" s="4"/>
      <x:c r="B2" s="4"/>
      <x:c r="C2" s="4"/>
      <x:c r="D2" s="4"/>
      <x:c r="E2" s="4"/>
    </x:row>
    <x:row r="3" ht="22" customHeight="1">
      <x:c r="A3" s="9" t="str">
        <x:v>Synthetic training data | INR | Changes to the blue input numbers flow into the reports</x:v>
      </x:c>
      <x:c r="B3" s="9"/>
      <x:c r="C3" s="9"/>
      <x:c r="D3" s="9"/>
      <x:c r="E3" s="9"/>
    </x:row>
    <x:row r="6" ht="26" customHeight="1">
      <x:c r="A6" s="13" t="str">
        <x:v>Period</x:v>
      </x:c>
      <x:c r="B6" s="13" t="str">
        <x:v>Account / Category</x:v>
      </x:c>
      <x:c r="C6" s="13" t="str">
        <x:v>P&amp;L group</x:v>
      </x:c>
      <x:c r="D6" s="13" t="str">
        <x:v>Amount (₹)</x:v>
      </x:c>
      <x:c r="E6" s="13" t="str">
        <x:v>Input source</x:v>
      </x:c>
    </x:row>
    <x:row r="7">
      <x:c r="A7" s="20" t="str">
        <x:v>2025-01</x:v>
      </x:c>
      <x:c r="B7" s="20" t="str">
        <x:v>Software implementation</x:v>
      </x:c>
      <x:c r="C7" s="20" t="str">
        <x:v>Revenue</x:v>
      </x:c>
      <x:c r="D7" s="18" t="n">
        <x:v>597000</x:v>
      </x:c>
      <x:c r="E7" s="22" t="str">
        <x:v>Fictional illustrative value</x:v>
      </x:c>
    </x:row>
    <x:row r="8">
      <x:c r="A8" s="20" t="str">
        <x:v>2025-01</x:v>
      </x:c>
      <x:c r="B8" s="20" t="str">
        <x:v>Recurring support</x:v>
      </x:c>
      <x:c r="C8" s="20" t="str">
        <x:v>Revenue</x:v>
      </x:c>
      <x:c r="D8" s="18" t="n">
        <x:v>364700</x:v>
      </x:c>
      <x:c r="E8" s="22" t="str">
        <x:v>Fictional illustrative value</x:v>
      </x:c>
    </x:row>
    <x:row r="9">
      <x:c r="A9" s="20" t="str">
        <x:v>2025-01</x:v>
      </x:c>
      <x:c r="B9" s="20" t="str">
        <x:v>Consulting projects</x:v>
      </x:c>
      <x:c r="C9" s="20" t="str">
        <x:v>Revenue</x:v>
      </x:c>
      <x:c r="D9" s="18" t="n">
        <x:v>288000</x:v>
      </x:c>
      <x:c r="E9" s="22" t="str">
        <x:v>Fictional illustrative value</x:v>
      </x:c>
    </x:row>
    <x:row r="10">
      <x:c r="A10" s="20" t="str">
        <x:v>2025-01</x:v>
      </x:c>
      <x:c r="B10" s="20" t="str">
        <x:v>Contractor delivery</x:v>
      </x:c>
      <x:c r="C10" s="20" t="str">
        <x:v>COGS</x:v>
      </x:c>
      <x:c r="D10" s="18" t="n">
        <x:v>236300</x:v>
      </x:c>
      <x:c r="E10" s="22" t="str">
        <x:v>Fictional illustrative value</x:v>
      </x:c>
    </x:row>
    <x:row r="11">
      <x:c r="A11" s="20" t="str">
        <x:v>2025-01</x:v>
      </x:c>
      <x:c r="B11" s="20" t="str">
        <x:v>Cloud and delivery</x:v>
      </x:c>
      <x:c r="C11" s="20" t="str">
        <x:v>COGS</x:v>
      </x:c>
      <x:c r="D11" s="18" t="n">
        <x:v>137600</x:v>
      </x:c>
      <x:c r="E11" s="22" t="str">
        <x:v>Fictional illustrative value</x:v>
      </x:c>
    </x:row>
    <x:row r="12">
      <x:c r="A12" s="20" t="str">
        <x:v>2025-01</x:v>
      </x:c>
      <x:c r="B12" s="20" t="str">
        <x:v>Payroll</x:v>
      </x:c>
      <x:c r="C12" s="20" t="str">
        <x:v>Opex</x:v>
      </x:c>
      <x:c r="D12" s="18" t="n">
        <x:v>250400</x:v>
      </x:c>
      <x:c r="E12" s="22" t="str">
        <x:v>Fictional illustrative value</x:v>
      </x:c>
    </x:row>
    <x:row r="13">
      <x:c r="A13" s="20" t="str">
        <x:v>2025-01</x:v>
      </x:c>
      <x:c r="B13" s="20" t="str">
        <x:v>Rent and utilities</x:v>
      </x:c>
      <x:c r="C13" s="20" t="str">
        <x:v>Opex</x:v>
      </x:c>
      <x:c r="D13" s="18" t="n">
        <x:v>42100</x:v>
      </x:c>
      <x:c r="E13" s="22" t="str">
        <x:v>Fictional illustrative value</x:v>
      </x:c>
    </x:row>
    <x:row r="14">
      <x:c r="A14" s="20" t="str">
        <x:v>2025-01</x:v>
      </x:c>
      <x:c r="B14" s="20" t="str">
        <x:v>Sales and marketing</x:v>
      </x:c>
      <x:c r="C14" s="20" t="str">
        <x:v>Opex</x:v>
      </x:c>
      <x:c r="D14" s="18" t="n">
        <x:v>41400</x:v>
      </x:c>
      <x:c r="E14" s="22" t="str">
        <x:v>Fictional illustrative value</x:v>
      </x:c>
    </x:row>
    <x:row r="15">
      <x:c r="A15" s="20" t="str">
        <x:v>2025-01</x:v>
      </x:c>
      <x:c r="B15" s="20" t="str">
        <x:v>Internal software</x:v>
      </x:c>
      <x:c r="C15" s="20" t="str">
        <x:v>Opex</x:v>
      </x:c>
      <x:c r="D15" s="18" t="n">
        <x:v>29500</x:v>
      </x:c>
      <x:c r="E15" s="22" t="str">
        <x:v>Fictional illustrative value</x:v>
      </x:c>
    </x:row>
    <x:row r="16">
      <x:c r="A16" s="20" t="str">
        <x:v>2025-01</x:v>
      </x:c>
      <x:c r="B16" s="20" t="str">
        <x:v>Admin and travel</x:v>
      </x:c>
      <x:c r="C16" s="20" t="str">
        <x:v>Opex</x:v>
      </x:c>
      <x:c r="D16" s="18" t="n">
        <x:v>24700</x:v>
      </x:c>
      <x:c r="E16" s="22" t="str">
        <x:v>Fictional illustrative value</x:v>
      </x:c>
    </x:row>
    <x:row r="17">
      <x:c r="A17" s="20" t="str">
        <x:v>2025-02</x:v>
      </x:c>
      <x:c r="B17" s="20" t="str">
        <x:v>Software implementation</x:v>
      </x:c>
      <x:c r="C17" s="20" t="str">
        <x:v>Revenue</x:v>
      </x:c>
      <x:c r="D17" s="18" t="n">
        <x:v>625600</x:v>
      </x:c>
      <x:c r="E17" s="22" t="str">
        <x:v>Fictional illustrative value</x:v>
      </x:c>
    </x:row>
    <x:row r="18">
      <x:c r="A18" s="20" t="str">
        <x:v>2025-02</x:v>
      </x:c>
      <x:c r="B18" s="20" t="str">
        <x:v>Recurring support</x:v>
      </x:c>
      <x:c r="C18" s="20" t="str">
        <x:v>Revenue</x:v>
      </x:c>
      <x:c r="D18" s="18" t="n">
        <x:v>373500</x:v>
      </x:c>
      <x:c r="E18" s="22" t="str">
        <x:v>Fictional illustrative value</x:v>
      </x:c>
    </x:row>
    <x:row r="19">
      <x:c r="A19" s="20" t="str">
        <x:v>2025-02</x:v>
      </x:c>
      <x:c r="B19" s="20" t="str">
        <x:v>Consulting projects</x:v>
      </x:c>
      <x:c r="C19" s="20" t="str">
        <x:v>Revenue</x:v>
      </x:c>
      <x:c r="D19" s="18" t="n">
        <x:v>289200</x:v>
      </x:c>
      <x:c r="E19" s="22" t="str">
        <x:v>Fictional illustrative value</x:v>
      </x:c>
    </x:row>
    <x:row r="20">
      <x:c r="A20" s="20" t="str">
        <x:v>2025-02</x:v>
      </x:c>
      <x:c r="B20" s="20" t="str">
        <x:v>Contractor delivery</x:v>
      </x:c>
      <x:c r="C20" s="20" t="str">
        <x:v>COGS</x:v>
      </x:c>
      <x:c r="D20" s="18" t="n">
        <x:v>234300</x:v>
      </x:c>
      <x:c r="E20" s="22" t="str">
        <x:v>Fictional illustrative value</x:v>
      </x:c>
    </x:row>
    <x:row r="21">
      <x:c r="A21" s="20" t="str">
        <x:v>2025-02</x:v>
      </x:c>
      <x:c r="B21" s="20" t="str">
        <x:v>Cloud and delivery</x:v>
      </x:c>
      <x:c r="C21" s="20" t="str">
        <x:v>COGS</x:v>
      </x:c>
      <x:c r="D21" s="18" t="n">
        <x:v>135800</x:v>
      </x:c>
      <x:c r="E21" s="22" t="str">
        <x:v>Fictional illustrative value</x:v>
      </x:c>
    </x:row>
    <x:row r="22">
      <x:c r="A22" s="20" t="str">
        <x:v>2025-02</x:v>
      </x:c>
      <x:c r="B22" s="20" t="str">
        <x:v>Payroll</x:v>
      </x:c>
      <x:c r="C22" s="20" t="str">
        <x:v>Opex</x:v>
      </x:c>
      <x:c r="D22" s="18" t="n">
        <x:v>248300</x:v>
      </x:c>
      <x:c r="E22" s="22" t="str">
        <x:v>Fictional illustrative value</x:v>
      </x:c>
    </x:row>
    <x:row r="23">
      <x:c r="A23" s="20" t="str">
        <x:v>2025-02</x:v>
      </x:c>
      <x:c r="B23" s="20" t="str">
        <x:v>Rent and utilities</x:v>
      </x:c>
      <x:c r="C23" s="20" t="str">
        <x:v>Opex</x:v>
      </x:c>
      <x:c r="D23" s="18" t="n">
        <x:v>42200</x:v>
      </x:c>
      <x:c r="E23" s="22" t="str">
        <x:v>Fictional illustrative value</x:v>
      </x:c>
    </x:row>
    <x:row r="24">
      <x:c r="A24" s="20" t="str">
        <x:v>2025-02</x:v>
      </x:c>
      <x:c r="B24" s="20" t="str">
        <x:v>Sales and marketing</x:v>
      </x:c>
      <x:c r="C24" s="20" t="str">
        <x:v>Opex</x:v>
      </x:c>
      <x:c r="D24" s="18" t="n">
        <x:v>42200</x:v>
      </x:c>
      <x:c r="E24" s="22" t="str">
        <x:v>Fictional illustrative value</x:v>
      </x:c>
    </x:row>
    <x:row r="25">
      <x:c r="A25" s="20" t="str">
        <x:v>2025-02</x:v>
      </x:c>
      <x:c r="B25" s="20" t="str">
        <x:v>Internal software</x:v>
      </x:c>
      <x:c r="C25" s="20" t="str">
        <x:v>Opex</x:v>
      </x:c>
      <x:c r="D25" s="18" t="n">
        <x:v>30700</x:v>
      </x:c>
      <x:c r="E25" s="22" t="str">
        <x:v>Fictional illustrative value</x:v>
      </x:c>
    </x:row>
    <x:row r="26">
      <x:c r="A26" s="20" t="str">
        <x:v>2025-02</x:v>
      </x:c>
      <x:c r="B26" s="20" t="str">
        <x:v>Admin and travel</x:v>
      </x:c>
      <x:c r="C26" s="20" t="str">
        <x:v>Opex</x:v>
      </x:c>
      <x:c r="D26" s="18" t="n">
        <x:v>26100</x:v>
      </x:c>
      <x:c r="E26" s="22" t="str">
        <x:v>Fictional illustrative value</x:v>
      </x:c>
    </x:row>
    <x:row r="27">
      <x:c r="A27" s="20" t="str">
        <x:v>2025-03</x:v>
      </x:c>
      <x:c r="B27" s="20" t="str">
        <x:v>Software implementation</x:v>
      </x:c>
      <x:c r="C27" s="20" t="str">
        <x:v>Revenue</x:v>
      </x:c>
      <x:c r="D27" s="18" t="n">
        <x:v>624500</x:v>
      </x:c>
      <x:c r="E27" s="22" t="str">
        <x:v>Fictional illustrative value</x:v>
      </x:c>
    </x:row>
    <x:row r="28">
      <x:c r="A28" s="20" t="str">
        <x:v>2025-03</x:v>
      </x:c>
      <x:c r="B28" s="20" t="str">
        <x:v>Recurring support</x:v>
      </x:c>
      <x:c r="C28" s="20" t="str">
        <x:v>Revenue</x:v>
      </x:c>
      <x:c r="D28" s="18" t="n">
        <x:v>367700</x:v>
      </x:c>
      <x:c r="E28" s="22" t="str">
        <x:v>Fictional illustrative value</x:v>
      </x:c>
    </x:row>
    <x:row r="29">
      <x:c r="A29" s="20" t="str">
        <x:v>2025-03</x:v>
      </x:c>
      <x:c r="B29" s="20" t="str">
        <x:v>Consulting projects</x:v>
      </x:c>
      <x:c r="C29" s="20" t="str">
        <x:v>Revenue</x:v>
      </x:c>
      <x:c r="D29" s="18" t="n">
        <x:v>283600</x:v>
      </x:c>
      <x:c r="E29" s="22" t="str">
        <x:v>Fictional illustrative value</x:v>
      </x:c>
    </x:row>
    <x:row r="30">
      <x:c r="A30" s="20" t="str">
        <x:v>2025-03</x:v>
      </x:c>
      <x:c r="B30" s="20" t="str">
        <x:v>Contractor delivery</x:v>
      </x:c>
      <x:c r="C30" s="20" t="str">
        <x:v>COGS</x:v>
      </x:c>
      <x:c r="D30" s="18" t="n">
        <x:v>230900</x:v>
      </x:c>
      <x:c r="E30" s="22" t="str">
        <x:v>Fictional illustrative value</x:v>
      </x:c>
    </x:row>
    <x:row r="31">
      <x:c r="A31" s="20" t="str">
        <x:v>2025-03</x:v>
      </x:c>
      <x:c r="B31" s="20" t="str">
        <x:v>Cloud and delivery</x:v>
      </x:c>
      <x:c r="C31" s="20" t="str">
        <x:v>COGS</x:v>
      </x:c>
      <x:c r="D31" s="18" t="n">
        <x:v>135800</x:v>
      </x:c>
      <x:c r="E31" s="22" t="str">
        <x:v>Fictional illustrative value</x:v>
      </x:c>
    </x:row>
    <x:row r="32">
      <x:c r="A32" s="20" t="str">
        <x:v>2025-03</x:v>
      </x:c>
      <x:c r="B32" s="20" t="str">
        <x:v>Payroll</x:v>
      </x:c>
      <x:c r="C32" s="20" t="str">
        <x:v>Opex</x:v>
      </x:c>
      <x:c r="D32" s="18" t="n">
        <x:v>253200</x:v>
      </x:c>
      <x:c r="E32" s="22" t="str">
        <x:v>Fictional illustrative value</x:v>
      </x:c>
    </x:row>
    <x:row r="33">
      <x:c r="A33" s="20" t="str">
        <x:v>2025-03</x:v>
      </x:c>
      <x:c r="B33" s="20" t="str">
        <x:v>Rent and utilities</x:v>
      </x:c>
      <x:c r="C33" s="20" t="str">
        <x:v>Opex</x:v>
      </x:c>
      <x:c r="D33" s="18" t="n">
        <x:v>44000</x:v>
      </x:c>
      <x:c r="E33" s="22" t="str">
        <x:v>Fictional illustrative value</x:v>
      </x:c>
    </x:row>
    <x:row r="34">
      <x:c r="A34" s="20" t="str">
        <x:v>2025-03</x:v>
      </x:c>
      <x:c r="B34" s="20" t="str">
        <x:v>Sales and marketing</x:v>
      </x:c>
      <x:c r="C34" s="20" t="str">
        <x:v>Opex</x:v>
      </x:c>
      <x:c r="D34" s="18" t="n">
        <x:v>44900</x:v>
      </x:c>
      <x:c r="E34" s="22" t="str">
        <x:v>Fictional illustrative value</x:v>
      </x:c>
    </x:row>
    <x:row r="35">
      <x:c r="A35" s="20" t="str">
        <x:v>2025-03</x:v>
      </x:c>
      <x:c r="B35" s="20" t="str">
        <x:v>Internal software</x:v>
      </x:c>
      <x:c r="C35" s="20" t="str">
        <x:v>Opex</x:v>
      </x:c>
      <x:c r="D35" s="18" t="n">
        <x:v>33100</x:v>
      </x:c>
      <x:c r="E35" s="22" t="str">
        <x:v>Fictional illustrative value</x:v>
      </x:c>
    </x:row>
    <x:row r="36">
      <x:c r="A36" s="20" t="str">
        <x:v>2025-03</x:v>
      </x:c>
      <x:c r="B36" s="20" t="str">
        <x:v>Admin and travel</x:v>
      </x:c>
      <x:c r="C36" s="20" t="str">
        <x:v>Opex</x:v>
      </x:c>
      <x:c r="D36" s="18" t="n">
        <x:v>28400</x:v>
      </x:c>
      <x:c r="E36" s="22" t="str">
        <x:v>Fictional illustrative value</x:v>
      </x:c>
    </x:row>
    <x:row r="37">
      <x:c r="A37" s="20" t="str">
        <x:v>2025-04</x:v>
      </x:c>
      <x:c r="B37" s="20" t="str">
        <x:v>Software implementation</x:v>
      </x:c>
      <x:c r="C37" s="20" t="str">
        <x:v>Revenue</x:v>
      </x:c>
      <x:c r="D37" s="18" t="n">
        <x:v>609700</x:v>
      </x:c>
      <x:c r="E37" s="22" t="str">
        <x:v>Fictional illustrative value</x:v>
      </x:c>
    </x:row>
    <x:row r="38">
      <x:c r="A38" s="20" t="str">
        <x:v>2025-04</x:v>
      </x:c>
      <x:c r="B38" s="20" t="str">
        <x:v>Recurring support</x:v>
      </x:c>
      <x:c r="C38" s="20" t="str">
        <x:v>Revenue</x:v>
      </x:c>
      <x:c r="D38" s="18" t="n">
        <x:v>361200</x:v>
      </x:c>
      <x:c r="E38" s="22" t="str">
        <x:v>Fictional illustrative value</x:v>
      </x:c>
    </x:row>
    <x:row r="39">
      <x:c r="A39" s="20" t="str">
        <x:v>2025-04</x:v>
      </x:c>
      <x:c r="B39" s="20" t="str">
        <x:v>Consulting projects</x:v>
      </x:c>
      <x:c r="C39" s="20" t="str">
        <x:v>Revenue</x:v>
      </x:c>
      <x:c r="D39" s="18" t="n">
        <x:v>282900</x:v>
      </x:c>
      <x:c r="E39" s="22" t="str">
        <x:v>Fictional illustrative value</x:v>
      </x:c>
    </x:row>
    <x:row r="40">
      <x:c r="A40" s="20" t="str">
        <x:v>2025-04</x:v>
      </x:c>
      <x:c r="B40" s="20" t="str">
        <x:v>Contractor delivery</x:v>
      </x:c>
      <x:c r="C40" s="20" t="str">
        <x:v>COGS</x:v>
      </x:c>
      <x:c r="D40" s="18" t="n">
        <x:v>235500</x:v>
      </x:c>
      <x:c r="E40" s="22" t="str">
        <x:v>Fictional illustrative value</x:v>
      </x:c>
    </x:row>
    <x:row r="41">
      <x:c r="A41" s="20" t="str">
        <x:v>2025-04</x:v>
      </x:c>
      <x:c r="B41" s="20" t="str">
        <x:v>Cloud and delivery</x:v>
      </x:c>
      <x:c r="C41" s="20" t="str">
        <x:v>COGS</x:v>
      </x:c>
      <x:c r="D41" s="18" t="n">
        <x:v>142000</x:v>
      </x:c>
      <x:c r="E41" s="22" t="str">
        <x:v>Fictional illustrative value</x:v>
      </x:c>
    </x:row>
    <x:row r="42">
      <x:c r="A42" s="20" t="str">
        <x:v>2025-04</x:v>
      </x:c>
      <x:c r="B42" s="20" t="str">
        <x:v>Payroll</x:v>
      </x:c>
      <x:c r="C42" s="20" t="str">
        <x:v>Opex</x:v>
      </x:c>
      <x:c r="D42" s="18" t="n">
        <x:v>270900</x:v>
      </x:c>
      <x:c r="E42" s="22" t="str">
        <x:v>Fictional illustrative value</x:v>
      </x:c>
    </x:row>
    <x:row r="43">
      <x:c r="A43" s="20" t="str">
        <x:v>2025-04</x:v>
      </x:c>
      <x:c r="B43" s="20" t="str">
        <x:v>Rent and utilities</x:v>
      </x:c>
      <x:c r="C43" s="20" t="str">
        <x:v>Opex</x:v>
      </x:c>
      <x:c r="D43" s="18" t="n">
        <x:v>47900</x:v>
      </x:c>
      <x:c r="E43" s="22" t="str">
        <x:v>Fictional illustrative value</x:v>
      </x:c>
    </x:row>
    <x:row r="44">
      <x:c r="A44" s="20" t="str">
        <x:v>2025-04</x:v>
      </x:c>
      <x:c r="B44" s="20" t="str">
        <x:v>Sales and marketing</x:v>
      </x:c>
      <x:c r="C44" s="20" t="str">
        <x:v>Opex</x:v>
      </x:c>
      <x:c r="D44" s="18" t="n">
        <x:v>49200</x:v>
      </x:c>
      <x:c r="E44" s="22" t="str">
        <x:v>Fictional illustrative value</x:v>
      </x:c>
    </x:row>
    <x:row r="45">
      <x:c r="A45" s="20" t="str">
        <x:v>2025-04</x:v>
      </x:c>
      <x:c r="B45" s="20" t="str">
        <x:v>Internal software</x:v>
      </x:c>
      <x:c r="C45" s="20" t="str">
        <x:v>Opex</x:v>
      </x:c>
      <x:c r="D45" s="18" t="n">
        <x:v>36300</x:v>
      </x:c>
      <x:c r="E45" s="22" t="str">
        <x:v>Fictional illustrative value</x:v>
      </x:c>
    </x:row>
    <x:row r="46">
      <x:c r="A46" s="20" t="str">
        <x:v>2025-04</x:v>
      </x:c>
      <x:c r="B46" s="20" t="str">
        <x:v>Admin and travel</x:v>
      </x:c>
      <x:c r="C46" s="20" t="str">
        <x:v>Opex</x:v>
      </x:c>
      <x:c r="D46" s="18" t="n">
        <x:v>30900</x:v>
      </x:c>
      <x:c r="E46" s="22" t="str">
        <x:v>Fictional illustrative value</x:v>
      </x:c>
    </x:row>
    <x:row r="47">
      <x:c r="A47" s="20" t="str">
        <x:v>2025-05</x:v>
      </x:c>
      <x:c r="B47" s="20" t="str">
        <x:v>Software implementation</x:v>
      </x:c>
      <x:c r="C47" s="20" t="str">
        <x:v>Revenue</x:v>
      </x:c>
      <x:c r="D47" s="18" t="n">
        <x:v>608000</x:v>
      </x:c>
      <x:c r="E47" s="22" t="str">
        <x:v>Fictional illustrative value</x:v>
      </x:c>
    </x:row>
    <x:row r="48">
      <x:c r="A48" s="20" t="str">
        <x:v>2025-05</x:v>
      </x:c>
      <x:c r="B48" s="20" t="str">
        <x:v>Recurring support</x:v>
      </x:c>
      <x:c r="C48" s="20" t="str">
        <x:v>Revenue</x:v>
      </x:c>
      <x:c r="D48" s="18" t="n">
        <x:v>368700</x:v>
      </x:c>
      <x:c r="E48" s="22" t="str">
        <x:v>Fictional illustrative value</x:v>
      </x:c>
    </x:row>
    <x:row r="49">
      <x:c r="A49" s="20" t="str">
        <x:v>2025-05</x:v>
      </x:c>
      <x:c r="B49" s="20" t="str">
        <x:v>Consulting projects</x:v>
      </x:c>
      <x:c r="C49" s="20" t="str">
        <x:v>Revenue</x:v>
      </x:c>
      <x:c r="D49" s="18" t="n">
        <x:v>296500</x:v>
      </x:c>
      <x:c r="E49" s="22" t="str">
        <x:v>Fictional illustrative value</x:v>
      </x:c>
    </x:row>
    <x:row r="50">
      <x:c r="A50" s="20" t="str">
        <x:v>2025-05</x:v>
      </x:c>
      <x:c r="B50" s="20" t="str">
        <x:v>Contractor delivery</x:v>
      </x:c>
      <x:c r="C50" s="20" t="str">
        <x:v>COGS</x:v>
      </x:c>
      <x:c r="D50" s="18" t="n">
        <x:v>252900</x:v>
      </x:c>
      <x:c r="E50" s="22" t="str">
        <x:v>Fictional illustrative value</x:v>
      </x:c>
    </x:row>
    <x:row r="51">
      <x:c r="A51" s="20" t="str">
        <x:v>2025-05</x:v>
      </x:c>
      <x:c r="B51" s="20" t="str">
        <x:v>Cloud and delivery</x:v>
      </x:c>
      <x:c r="C51" s="20" t="str">
        <x:v>COGS</x:v>
      </x:c>
      <x:c r="D51" s="18" t="n">
        <x:v>155200</x:v>
      </x:c>
      <x:c r="E51" s="22" t="str">
        <x:v>Fictional illustrative value</x:v>
      </x:c>
    </x:row>
    <x:row r="52">
      <x:c r="A52" s="20" t="str">
        <x:v>2025-05</x:v>
      </x:c>
      <x:c r="B52" s="20" t="str">
        <x:v>Payroll</x:v>
      </x:c>
      <x:c r="C52" s="20" t="str">
        <x:v>Opex</x:v>
      </x:c>
      <x:c r="D52" s="18" t="n">
        <x:v>298400</x:v>
      </x:c>
      <x:c r="E52" s="22" t="str">
        <x:v>Fictional illustrative value</x:v>
      </x:c>
    </x:row>
    <x:row r="53">
      <x:c r="A53" s="20" t="str">
        <x:v>2025-05</x:v>
      </x:c>
      <x:c r="B53" s="20" t="str">
        <x:v>Rent and utilities</x:v>
      </x:c>
      <x:c r="C53" s="20" t="str">
        <x:v>Opex</x:v>
      </x:c>
      <x:c r="D53" s="18" t="n">
        <x:v>52600</x:v>
      </x:c>
      <x:c r="E53" s="22" t="str">
        <x:v>Fictional illustrative value</x:v>
      </x:c>
    </x:row>
    <x:row r="54">
      <x:c r="A54" s="20" t="str">
        <x:v>2025-05</x:v>
      </x:c>
      <x:c r="B54" s="20" t="str">
        <x:v>Sales and marketing</x:v>
      </x:c>
      <x:c r="C54" s="20" t="str">
        <x:v>Opex</x:v>
      </x:c>
      <x:c r="D54" s="18" t="n">
        <x:v>53500</x:v>
      </x:c>
      <x:c r="E54" s="22" t="str">
        <x:v>Fictional illustrative value</x:v>
      </x:c>
    </x:row>
    <x:row r="55">
      <x:c r="A55" s="20" t="str">
        <x:v>2025-05</x:v>
      </x:c>
      <x:c r="B55" s="20" t="str">
        <x:v>Internal software</x:v>
      </x:c>
      <x:c r="C55" s="20" t="str">
        <x:v>Opex</x:v>
      </x:c>
      <x:c r="D55" s="18" t="n">
        <x:v>38800</x:v>
      </x:c>
      <x:c r="E55" s="22" t="str">
        <x:v>Fictional illustrative value</x:v>
      </x:c>
    </x:row>
    <x:row r="56">
      <x:c r="A56" s="20" t="str">
        <x:v>2025-05</x:v>
      </x:c>
      <x:c r="B56" s="20" t="str">
        <x:v>Admin and travel</x:v>
      </x:c>
      <x:c r="C56" s="20" t="str">
        <x:v>Opex</x:v>
      </x:c>
      <x:c r="D56" s="18" t="n">
        <x:v>32400</x:v>
      </x:c>
      <x:c r="E56" s="22" t="str">
        <x:v>Fictional illustrative value</x:v>
      </x:c>
    </x:row>
    <x:row r="57">
      <x:c r="A57" s="20" t="str">
        <x:v>2025-06</x:v>
      </x:c>
      <x:c r="B57" s="20" t="str">
        <x:v>Software implementation</x:v>
      </x:c>
      <x:c r="C57" s="20" t="str">
        <x:v>Revenue</x:v>
      </x:c>
      <x:c r="D57" s="18" t="n">
        <x:v>638300</x:v>
      </x:c>
      <x:c r="E57" s="22" t="str">
        <x:v>Fictional illustrative value</x:v>
      </x:c>
    </x:row>
    <x:row r="58">
      <x:c r="A58" s="20" t="str">
        <x:v>2025-06</x:v>
      </x:c>
      <x:c r="B58" s="20" t="str">
        <x:v>Recurring support</x:v>
      </x:c>
      <x:c r="C58" s="20" t="str">
        <x:v>Revenue</x:v>
      </x:c>
      <x:c r="D58" s="18" t="n">
        <x:v>396600</x:v>
      </x:c>
      <x:c r="E58" s="22" t="str">
        <x:v>Fictional illustrative value</x:v>
      </x:c>
    </x:row>
    <x:row r="59">
      <x:c r="A59" s="20" t="str">
        <x:v>2025-06</x:v>
      </x:c>
      <x:c r="B59" s="20" t="str">
        <x:v>Consulting projects</x:v>
      </x:c>
      <x:c r="C59" s="20" t="str">
        <x:v>Revenue</x:v>
      </x:c>
      <x:c r="D59" s="18" t="n">
        <x:v>324600</x:v>
      </x:c>
      <x:c r="E59" s="22" t="str">
        <x:v>Fictional illustrative value</x:v>
      </x:c>
    </x:row>
    <x:row r="60">
      <x:c r="A60" s="20" t="str">
        <x:v>2025-06</x:v>
      </x:c>
      <x:c r="B60" s="20" t="str">
        <x:v>Contractor delivery</x:v>
      </x:c>
      <x:c r="C60" s="20" t="str">
        <x:v>COGS</x:v>
      </x:c>
      <x:c r="D60" s="18" t="n">
        <x:v>279100</x:v>
      </x:c>
      <x:c r="E60" s="22" t="str">
        <x:v>Fictional illustrative value</x:v>
      </x:c>
    </x:row>
    <x:row r="61">
      <x:c r="A61" s="20" t="str">
        <x:v>2025-06</x:v>
      </x:c>
      <x:c r="B61" s="20" t="str">
        <x:v>Cloud and delivery</x:v>
      </x:c>
      <x:c r="C61" s="20" t="str">
        <x:v>COGS</x:v>
      </x:c>
      <x:c r="D61" s="18" t="n">
        <x:v>170800</x:v>
      </x:c>
      <x:c r="E61" s="22" t="str">
        <x:v>Fictional illustrative value</x:v>
      </x:c>
    </x:row>
    <x:row r="62">
      <x:c r="A62" s="20" t="str">
        <x:v>2025-06</x:v>
      </x:c>
      <x:c r="B62" s="20" t="str">
        <x:v>Payroll</x:v>
      </x:c>
      <x:c r="C62" s="20" t="str">
        <x:v>Opex</x:v>
      </x:c>
      <x:c r="D62" s="18" t="n">
        <x:v>324400</x:v>
      </x:c>
      <x:c r="E62" s="22" t="str">
        <x:v>Fictional illustrative value</x:v>
      </x:c>
    </x:row>
    <x:row r="63">
      <x:c r="A63" s="20" t="str">
        <x:v>2025-06</x:v>
      </x:c>
      <x:c r="B63" s="20" t="str">
        <x:v>Rent and utilities</x:v>
      </x:c>
      <x:c r="C63" s="20" t="str">
        <x:v>Opex</x:v>
      </x:c>
      <x:c r="D63" s="18" t="n">
        <x:v>56200</x:v>
      </x:c>
      <x:c r="E63" s="22" t="str">
        <x:v>Fictional illustrative value</x:v>
      </x:c>
    </x:row>
    <x:row r="64">
      <x:c r="A64" s="20" t="str">
        <x:v>2025-06</x:v>
      </x:c>
      <x:c r="B64" s="20" t="str">
        <x:v>Sales and marketing</x:v>
      </x:c>
      <x:c r="C64" s="20" t="str">
        <x:v>Opex</x:v>
      </x:c>
      <x:c r="D64" s="18" t="n">
        <x:v>55800</x:v>
      </x:c>
      <x:c r="E64" s="22" t="str">
        <x:v>Fictional illustrative value</x:v>
      </x:c>
    </x:row>
    <x:row r="65">
      <x:c r="A65" s="20" t="str">
        <x:v>2025-06</x:v>
      </x:c>
      <x:c r="B65" s="20" t="str">
        <x:v>Internal software</x:v>
      </x:c>
      <x:c r="C65" s="20" t="str">
        <x:v>Opex</x:v>
      </x:c>
      <x:c r="D65" s="18" t="n">
        <x:v>39600</x:v>
      </x:c>
      <x:c r="E65" s="22" t="str">
        <x:v>Fictional illustrative value</x:v>
      </x:c>
    </x:row>
    <x:row r="66">
      <x:c r="A66" s="20" t="str">
        <x:v>2025-06</x:v>
      </x:c>
      <x:c r="B66" s="20" t="str">
        <x:v>Admin and travel</x:v>
      </x:c>
      <x:c r="C66" s="20" t="str">
        <x:v>Opex</x:v>
      </x:c>
      <x:c r="D66" s="18" t="n">
        <x:v>32400</x:v>
      </x:c>
      <x:c r="E66" s="22" t="str">
        <x:v>Fictional illustrative value</x:v>
      </x:c>
    </x:row>
    <x:row r="67">
      <x:c r="A67" s="20" t="str">
        <x:v>2025-07</x:v>
      </x:c>
      <x:c r="B67" s="20" t="str">
        <x:v>Software implementation</x:v>
      </x:c>
      <x:c r="C67" s="20" t="str">
        <x:v>Revenue</x:v>
      </x:c>
      <x:c r="D67" s="18" t="n">
        <x:v>698400</x:v>
      </x:c>
      <x:c r="E67" s="22" t="str">
        <x:v>Fictional illustrative value</x:v>
      </x:c>
    </x:row>
    <x:row r="68">
      <x:c r="A68" s="20" t="str">
        <x:v>2025-07</x:v>
      </x:c>
      <x:c r="B68" s="20" t="str">
        <x:v>Recurring support</x:v>
      </x:c>
      <x:c r="C68" s="20" t="str">
        <x:v>Revenue</x:v>
      </x:c>
      <x:c r="D68" s="18" t="n">
        <x:v>437200</x:v>
      </x:c>
      <x:c r="E68" s="22" t="str">
        <x:v>Fictional illustrative value</x:v>
      </x:c>
    </x:row>
    <x:row r="69">
      <x:c r="A69" s="20" t="str">
        <x:v>2025-07</x:v>
      </x:c>
      <x:c r="B69" s="20" t="str">
        <x:v>Consulting projects</x:v>
      </x:c>
      <x:c r="C69" s="20" t="str">
        <x:v>Revenue</x:v>
      </x:c>
      <x:c r="D69" s="18" t="n">
        <x:v>356800</x:v>
      </x:c>
      <x:c r="E69" s="22" t="str">
        <x:v>Fictional illustrative value</x:v>
      </x:c>
    </x:row>
    <x:row r="70">
      <x:c r="A70" s="20" t="str">
        <x:v>2025-07</x:v>
      </x:c>
      <x:c r="B70" s="20" t="str">
        <x:v>Contractor delivery</x:v>
      </x:c>
      <x:c r="C70" s="20" t="str">
        <x:v>COGS</x:v>
      </x:c>
      <x:c r="D70" s="18" t="n">
        <x:v>303000</x:v>
      </x:c>
      <x:c r="E70" s="22" t="str">
        <x:v>Fictional illustrative value</x:v>
      </x:c>
    </x:row>
    <x:row r="71">
      <x:c r="A71" s="20" t="str">
        <x:v>2025-07</x:v>
      </x:c>
      <x:c r="B71" s="20" t="str">
        <x:v>Cloud and delivery</x:v>
      </x:c>
      <x:c r="C71" s="20" t="str">
        <x:v>COGS</x:v>
      </x:c>
      <x:c r="D71" s="18" t="n">
        <x:v>181700</x:v>
      </x:c>
      <x:c r="E71" s="22" t="str">
        <x:v>Fictional illustrative value</x:v>
      </x:c>
    </x:row>
    <x:row r="72">
      <x:c r="A72" s="20" t="str">
        <x:v>2025-07</x:v>
      </x:c>
      <x:c r="B72" s="20" t="str">
        <x:v>Payroll</x:v>
      </x:c>
      <x:c r="C72" s="20" t="str">
        <x:v>Opex</x:v>
      </x:c>
      <x:c r="D72" s="18" t="n">
        <x:v>337100</x:v>
      </x:c>
      <x:c r="E72" s="22" t="str">
        <x:v>Fictional illustrative value</x:v>
      </x:c>
    </x:row>
    <x:row r="73">
      <x:c r="A73" s="20" t="str">
        <x:v>2025-07</x:v>
      </x:c>
      <x:c r="B73" s="20" t="str">
        <x:v>Rent and utilities</x:v>
      </x:c>
      <x:c r="C73" s="20" t="str">
        <x:v>Opex</x:v>
      </x:c>
      <x:c r="D73" s="18" t="n">
        <x:v>57000</x:v>
      </x:c>
      <x:c r="E73" s="22" t="str">
        <x:v>Fictional illustrative value</x:v>
      </x:c>
    </x:row>
    <x:row r="74">
      <x:c r="A74" s="20" t="str">
        <x:v>2025-07</x:v>
      </x:c>
      <x:c r="B74" s="20" t="str">
        <x:v>Sales and marketing</x:v>
      </x:c>
      <x:c r="C74" s="20" t="str">
        <x:v>Opex</x:v>
      </x:c>
      <x:c r="D74" s="18" t="n">
        <x:v>55600</x:v>
      </x:c>
      <x:c r="E74" s="22" t="str">
        <x:v>Fictional illustrative value</x:v>
      </x:c>
    </x:row>
    <x:row r="75">
      <x:c r="A75" s="20" t="str">
        <x:v>2025-07</x:v>
      </x:c>
      <x:c r="B75" s="20" t="str">
        <x:v>Internal software</x:v>
      </x:c>
      <x:c r="C75" s="20" t="str">
        <x:v>Opex</x:v>
      </x:c>
      <x:c r="D75" s="18" t="n">
        <x:v>38900</x:v>
      </x:c>
      <x:c r="E75" s="22" t="str">
        <x:v>Fictional illustrative value</x:v>
      </x:c>
    </x:row>
    <x:row r="76">
      <x:c r="A76" s="20" t="str">
        <x:v>2025-07</x:v>
      </x:c>
      <x:c r="B76" s="20" t="str">
        <x:v>Admin and travel</x:v>
      </x:c>
      <x:c r="C76" s="20" t="str">
        <x:v>Opex</x:v>
      </x:c>
      <x:c r="D76" s="18" t="n">
        <x:v>31700</x:v>
      </x:c>
      <x:c r="E76" s="22" t="str">
        <x:v>Fictional illustrative value</x:v>
      </x:c>
    </x:row>
    <x:row r="77">
      <x:c r="A77" s="20" t="str">
        <x:v>2025-08</x:v>
      </x:c>
      <x:c r="B77" s="20" t="str">
        <x:v>Software implementation</x:v>
      </x:c>
      <x:c r="C77" s="20" t="str">
        <x:v>Revenue</x:v>
      </x:c>
      <x:c r="D77" s="18" t="n">
        <x:v>764600</x:v>
      </x:c>
      <x:c r="E77" s="22" t="str">
        <x:v>Fictional illustrative value</x:v>
      </x:c>
    </x:row>
    <x:row r="78">
      <x:c r="A78" s="20" t="str">
        <x:v>2025-08</x:v>
      </x:c>
      <x:c r="B78" s="20" t="str">
        <x:v>Recurring support</x:v>
      </x:c>
      <x:c r="C78" s="20" t="str">
        <x:v>Revenue</x:v>
      </x:c>
      <x:c r="D78" s="18" t="n">
        <x:v>472900</x:v>
      </x:c>
      <x:c r="E78" s="22" t="str">
        <x:v>Fictional illustrative value</x:v>
      </x:c>
    </x:row>
    <x:row r="79">
      <x:c r="A79" s="20" t="str">
        <x:v>2025-08</x:v>
      </x:c>
      <x:c r="B79" s="20" t="str">
        <x:v>Consulting projects</x:v>
      </x:c>
      <x:c r="C79" s="20" t="str">
        <x:v>Revenue</x:v>
      </x:c>
      <x:c r="D79" s="18" t="n">
        <x:v>378400</x:v>
      </x:c>
      <x:c r="E79" s="22" t="str">
        <x:v>Fictional illustrative value</x:v>
      </x:c>
    </x:row>
    <x:row r="80">
      <x:c r="A80" s="20" t="str">
        <x:v>2025-08</x:v>
      </x:c>
      <x:c r="B80" s="20" t="str">
        <x:v>Contractor delivery</x:v>
      </x:c>
      <x:c r="C80" s="20" t="str">
        <x:v>COGS</x:v>
      </x:c>
      <x:c r="D80" s="18" t="n">
        <x:v>313700</x:v>
      </x:c>
      <x:c r="E80" s="22" t="str">
        <x:v>Fictional illustrative value</x:v>
      </x:c>
    </x:row>
    <x:row r="81">
      <x:c r="A81" s="20" t="str">
        <x:v>2025-08</x:v>
      </x:c>
      <x:c r="B81" s="20" t="str">
        <x:v>Cloud and delivery</x:v>
      </x:c>
      <x:c r="C81" s="20" t="str">
        <x:v>COGS</x:v>
      </x:c>
      <x:c r="D81" s="18" t="n">
        <x:v>183700</x:v>
      </x:c>
      <x:c r="E81" s="22" t="str">
        <x:v>Fictional illustrative value</x:v>
      </x:c>
    </x:row>
    <x:row r="82">
      <x:c r="A82" s="20" t="str">
        <x:v>2025-08</x:v>
      </x:c>
      <x:c r="B82" s="20" t="str">
        <x:v>Payroll</x:v>
      </x:c>
      <x:c r="C82" s="20" t="str">
        <x:v>Opex</x:v>
      </x:c>
      <x:c r="D82" s="18" t="n">
        <x:v>333800</x:v>
      </x:c>
      <x:c r="E82" s="22" t="str">
        <x:v>Fictional illustrative value</x:v>
      </x:c>
    </x:row>
    <x:row r="83">
      <x:c r="A83" s="20" t="str">
        <x:v>2025-08</x:v>
      </x:c>
      <x:c r="B83" s="20" t="str">
        <x:v>Rent and utilities</x:v>
      </x:c>
      <x:c r="C83" s="20" t="str">
        <x:v>Opex</x:v>
      </x:c>
      <x:c r="D83" s="18" t="n">
        <x:v>55700</x:v>
      </x:c>
      <x:c r="E83" s="22" t="str">
        <x:v>Fictional illustrative value</x:v>
      </x:c>
    </x:row>
    <x:row r="84">
      <x:c r="A84" s="20" t="str">
        <x:v>2025-08</x:v>
      </x:c>
      <x:c r="B84" s="20" t="str">
        <x:v>Sales and marketing</x:v>
      </x:c>
      <x:c r="C84" s="20" t="str">
        <x:v>Opex</x:v>
      </x:c>
      <x:c r="D84" s="18" t="n">
        <x:v>54000</x:v>
      </x:c>
      <x:c r="E84" s="22" t="str">
        <x:v>Fictional illustrative value</x:v>
      </x:c>
    </x:row>
    <x:row r="85">
      <x:c r="A85" s="20" t="str">
        <x:v>2025-08</x:v>
      </x:c>
      <x:c r="B85" s="20" t="str">
        <x:v>Internal software</x:v>
      </x:c>
      <x:c r="C85" s="20" t="str">
        <x:v>Opex</x:v>
      </x:c>
      <x:c r="D85" s="18" t="n">
        <x:v>38000</x:v>
      </x:c>
      <x:c r="E85" s="22" t="str">
        <x:v>Fictional illustrative value</x:v>
      </x:c>
    </x:row>
    <x:row r="86">
      <x:c r="A86" s="20" t="str">
        <x:v>2025-08</x:v>
      </x:c>
      <x:c r="B86" s="20" t="str">
        <x:v>Admin and travel</x:v>
      </x:c>
      <x:c r="C86" s="20" t="str">
        <x:v>Opex</x:v>
      </x:c>
      <x:c r="D86" s="18" t="n">
        <x:v>31500</x:v>
      </x:c>
      <x:c r="E86" s="22" t="str">
        <x:v>Fictional illustrative value</x:v>
      </x:c>
    </x:row>
    <x:row r="87">
      <x:c r="A87" s="20" t="str">
        <x:v>2025-09</x:v>
      </x:c>
      <x:c r="B87" s="20" t="str">
        <x:v>Software implementation</x:v>
      </x:c>
      <x:c r="C87" s="20" t="str">
        <x:v>Revenue</x:v>
      </x:c>
      <x:c r="D87" s="18" t="n">
        <x:v>807200</x:v>
      </x:c>
      <x:c r="E87" s="22" t="str">
        <x:v>Fictional illustrative value</x:v>
      </x:c>
    </x:row>
    <x:row r="88">
      <x:c r="A88" s="20" t="str">
        <x:v>2025-09</x:v>
      </x:c>
      <x:c r="B88" s="20" t="str">
        <x:v>Recurring support</x:v>
      </x:c>
      <x:c r="C88" s="20" t="str">
        <x:v>Revenue</x:v>
      </x:c>
      <x:c r="D88" s="18" t="n">
        <x:v>487900</x:v>
      </x:c>
      <x:c r="E88" s="22" t="str">
        <x:v>Fictional illustrative value</x:v>
      </x:c>
    </x:row>
    <x:row r="89">
      <x:c r="A89" s="20" t="str">
        <x:v>2025-09</x:v>
      </x:c>
      <x:c r="B89" s="20" t="str">
        <x:v>Consulting projects</x:v>
      </x:c>
      <x:c r="C89" s="20" t="str">
        <x:v>Revenue</x:v>
      </x:c>
      <x:c r="D89" s="18" t="n">
        <x:v>381400</x:v>
      </x:c>
      <x:c r="E89" s="22" t="str">
        <x:v>Fictional illustrative value</x:v>
      </x:c>
    </x:row>
    <x:row r="90">
      <x:c r="A90" s="20" t="str">
        <x:v>2025-09</x:v>
      </x:c>
      <x:c r="B90" s="20" t="str">
        <x:v>Contractor delivery</x:v>
      </x:c>
      <x:c r="C90" s="20" t="str">
        <x:v>COGS</x:v>
      </x:c>
      <x:c r="D90" s="18" t="n">
        <x:v>309800</x:v>
      </x:c>
      <x:c r="E90" s="22" t="str">
        <x:v>Fictional illustrative value</x:v>
      </x:c>
    </x:row>
    <x:row r="91">
      <x:c r="A91" s="20" t="str">
        <x:v>2025-09</x:v>
      </x:c>
      <x:c r="B91" s="20" t="str">
        <x:v>Cloud and delivery</x:v>
      </x:c>
      <x:c r="C91" s="20" t="str">
        <x:v>COGS</x:v>
      </x:c>
      <x:c r="D91" s="18" t="n">
        <x:v>178900</x:v>
      </x:c>
      <x:c r="E91" s="22" t="str">
        <x:v>Fictional illustrative value</x:v>
      </x:c>
    </x:row>
    <x:row r="92">
      <x:c r="A92" s="20" t="str">
        <x:v>2025-09</x:v>
      </x:c>
      <x:c r="B92" s="20" t="str">
        <x:v>Payroll</x:v>
      </x:c>
      <x:c r="C92" s="20" t="str">
        <x:v>Opex</x:v>
      </x:c>
      <x:c r="D92" s="18" t="n">
        <x:v>323800</x:v>
      </x:c>
      <x:c r="E92" s="22" t="str">
        <x:v>Fictional illustrative value</x:v>
      </x:c>
    </x:row>
    <x:row r="93">
      <x:c r="A93" s="20" t="str">
        <x:v>2025-09</x:v>
      </x:c>
      <x:c r="B93" s="20" t="str">
        <x:v>Rent and utilities</x:v>
      </x:c>
      <x:c r="C93" s="20" t="str">
        <x:v>Opex</x:v>
      </x:c>
      <x:c r="D93" s="18" t="n">
        <x:v>54300</x:v>
      </x:c>
      <x:c r="E93" s="22" t="str">
        <x:v>Fictional illustrative value</x:v>
      </x:c>
    </x:row>
    <x:row r="94">
      <x:c r="A94" s="20" t="str">
        <x:v>2025-09</x:v>
      </x:c>
      <x:c r="B94" s="20" t="str">
        <x:v>Sales and marketing</x:v>
      </x:c>
      <x:c r="C94" s="20" t="str">
        <x:v>Opex</x:v>
      </x:c>
      <x:c r="D94" s="18" t="n">
        <x:v>53600</x:v>
      </x:c>
      <x:c r="E94" s="22" t="str">
        <x:v>Fictional illustrative value</x:v>
      </x:c>
    </x:row>
    <x:row r="95">
      <x:c r="A95" s="20" t="str">
        <x:v>2025-09</x:v>
      </x:c>
      <x:c r="B95" s="20" t="str">
        <x:v>Internal software</x:v>
      </x:c>
      <x:c r="C95" s="20" t="str">
        <x:v>Opex</x:v>
      </x:c>
      <x:c r="D95" s="18" t="n">
        <x:v>38600</x:v>
      </x:c>
      <x:c r="E95" s="22" t="str">
        <x:v>Fictional illustrative value</x:v>
      </x:c>
    </x:row>
    <x:row r="96">
      <x:c r="A96" s="20" t="str">
        <x:v>2025-09</x:v>
      </x:c>
      <x:c r="B96" s="20" t="str">
        <x:v>Admin and travel</x:v>
      </x:c>
      <x:c r="C96" s="20" t="str">
        <x:v>Opex</x:v>
      </x:c>
      <x:c r="D96" s="18" t="n">
        <x:v>32800</x:v>
      </x:c>
      <x:c r="E96" s="22" t="str">
        <x:v>Fictional illustrative value</x:v>
      </x:c>
    </x:row>
    <x:row r="97">
      <x:c r="A97" s="20" t="str">
        <x:v>2025-10</x:v>
      </x:c>
      <x:c r="B97" s="20" t="str">
        <x:v>Software implementation</x:v>
      </x:c>
      <x:c r="C97" s="20" t="str">
        <x:v>Revenue</x:v>
      </x:c>
      <x:c r="D97" s="18" t="n">
        <x:v>811700</x:v>
      </x:c>
      <x:c r="E97" s="22" t="str">
        <x:v>Fictional illustrative value</x:v>
      </x:c>
    </x:row>
    <x:row r="98">
      <x:c r="A98" s="20" t="str">
        <x:v>2025-10</x:v>
      </x:c>
      <x:c r="B98" s="20" t="str">
        <x:v>Recurring support</x:v>
      </x:c>
      <x:c r="C98" s="20" t="str">
        <x:v>Revenue</x:v>
      </x:c>
      <x:c r="D98" s="18" t="n">
        <x:v>481400</x:v>
      </x:c>
      <x:c r="E98" s="22" t="str">
        <x:v>Fictional illustrative value</x:v>
      </x:c>
    </x:row>
    <x:row r="99">
      <x:c r="A99" s="20" t="str">
        <x:v>2025-10</x:v>
      </x:c>
      <x:c r="B99" s="20" t="str">
        <x:v>Consulting projects</x:v>
      </x:c>
      <x:c r="C99" s="20" t="str">
        <x:v>Revenue</x:v>
      </x:c>
      <x:c r="D99" s="18" t="n">
        <x:v>371400</x:v>
      </x:c>
      <x:c r="E99" s="22" t="str">
        <x:v>Fictional illustrative value</x:v>
      </x:c>
    </x:row>
    <x:row r="100">
      <x:c r="A100" s="20" t="str">
        <x:v>2025-10</x:v>
      </x:c>
      <x:c r="B100" s="20" t="str">
        <x:v>Contractor delivery</x:v>
      </x:c>
      <x:c r="C100" s="20" t="str">
        <x:v>COGS</x:v>
      </x:c>
      <x:c r="D100" s="18" t="n">
        <x:v>300600</x:v>
      </x:c>
      <x:c r="E100" s="22" t="str">
        <x:v>Fictional illustrative value</x:v>
      </x:c>
    </x:row>
    <x:row r="101">
      <x:c r="A101" s="20" t="str">
        <x:v>2025-10</x:v>
      </x:c>
      <x:c r="B101" s="20" t="str">
        <x:v>Cloud and delivery</x:v>
      </x:c>
      <x:c r="C101" s="20" t="str">
        <x:v>COGS</x:v>
      </x:c>
      <x:c r="D101" s="18" t="n">
        <x:v>174700</x:v>
      </x:c>
      <x:c r="E101" s="22" t="str">
        <x:v>Fictional illustrative value</x:v>
      </x:c>
    </x:row>
    <x:row r="102">
      <x:c r="A102" s="20" t="str">
        <x:v>2025-10</x:v>
      </x:c>
      <x:c r="B102" s="20" t="str">
        <x:v>Payroll</x:v>
      </x:c>
      <x:c r="C102" s="20" t="str">
        <x:v>Opex</x:v>
      </x:c>
      <x:c r="D102" s="18" t="n">
        <x:v>321300</x:v>
      </x:c>
      <x:c r="E102" s="22" t="str">
        <x:v>Fictional illustrative value</x:v>
      </x:c>
    </x:row>
    <x:row r="103">
      <x:c r="A103" s="20" t="str">
        <x:v>2025-10</x:v>
      </x:c>
      <x:c r="B103" s="20" t="str">
        <x:v>Rent and utilities</x:v>
      </x:c>
      <x:c r="C103" s="20" t="str">
        <x:v>Opex</x:v>
      </x:c>
      <x:c r="D103" s="18" t="n">
        <x:v>55200</x:v>
      </x:c>
      <x:c r="E103" s="22" t="str">
        <x:v>Fictional illustrative value</x:v>
      </x:c>
    </x:row>
    <x:row r="104">
      <x:c r="A104" s="20" t="str">
        <x:v>2025-10</x:v>
      </x:c>
      <x:c r="B104" s="20" t="str">
        <x:v>Sales and marketing</x:v>
      </x:c>
      <x:c r="C104" s="20" t="str">
        <x:v>Opex</x:v>
      </x:c>
      <x:c r="D104" s="18" t="n">
        <x:v>55900</x:v>
      </x:c>
      <x:c r="E104" s="22" t="str">
        <x:v>Fictional illustrative value</x:v>
      </x:c>
    </x:row>
    <x:row r="105">
      <x:c r="A105" s="20" t="str">
        <x:v>2025-10</x:v>
      </x:c>
      <x:c r="B105" s="20" t="str">
        <x:v>Internal software</x:v>
      </x:c>
      <x:c r="C105" s="20" t="str">
        <x:v>Opex</x:v>
      </x:c>
      <x:c r="D105" s="18" t="n">
        <x:v>41300</x:v>
      </x:c>
      <x:c r="E105" s="22" t="str">
        <x:v>Fictional illustrative value</x:v>
      </x:c>
    </x:row>
    <x:row r="106">
      <x:c r="A106" s="20" t="str">
        <x:v>2025-10</x:v>
      </x:c>
      <x:c r="B106" s="20" t="str">
        <x:v>Admin and travel</x:v>
      </x:c>
      <x:c r="C106" s="20" t="str">
        <x:v>Opex</x:v>
      </x:c>
      <x:c r="D106" s="18" t="n">
        <x:v>35700</x:v>
      </x:c>
      <x:c r="E106" s="22" t="str">
        <x:v>Fictional illustrative value</x:v>
      </x:c>
    </x:row>
    <x:row r="107">
      <x:c r="A107" s="20" t="str">
        <x:v>2025-11</x:v>
      </x:c>
      <x:c r="B107" s="20" t="str">
        <x:v>Software implementation</x:v>
      </x:c>
      <x:c r="C107" s="20" t="str">
        <x:v>Revenue</x:v>
      </x:c>
      <x:c r="D107" s="18" t="n">
        <x:v>792400</x:v>
      </x:c>
      <x:c r="E107" s="22" t="str">
        <x:v>Fictional illustrative value</x:v>
      </x:c>
    </x:row>
    <x:row r="108">
      <x:c r="A108" s="20" t="str">
        <x:v>2025-11</x:v>
      </x:c>
      <x:c r="B108" s="20" t="str">
        <x:v>Recurring support</x:v>
      </x:c>
      <x:c r="C108" s="20" t="str">
        <x:v>Revenue</x:v>
      </x:c>
      <x:c r="D108" s="18" t="n">
        <x:v>468600</x:v>
      </x:c>
      <x:c r="E108" s="22" t="str">
        <x:v>Fictional illustrative value</x:v>
      </x:c>
    </x:row>
    <x:row r="109">
      <x:c r="A109" s="20" t="str">
        <x:v>2025-11</x:v>
      </x:c>
      <x:c r="B109" s="20" t="str">
        <x:v>Consulting projects</x:v>
      </x:c>
      <x:c r="C109" s="20" t="str">
        <x:v>Revenue</x:v>
      </x:c>
      <x:c r="D109" s="18" t="n">
        <x:v>363900</x:v>
      </x:c>
      <x:c r="E109" s="22" t="str">
        <x:v>Fictional illustrative value</x:v>
      </x:c>
    </x:row>
    <x:row r="110">
      <x:c r="A110" s="20" t="str">
        <x:v>2025-11</x:v>
      </x:c>
      <x:c r="B110" s="20" t="str">
        <x:v>Contractor delivery</x:v>
      </x:c>
      <x:c r="C110" s="20" t="str">
        <x:v>COGS</x:v>
      </x:c>
      <x:c r="D110" s="18" t="n">
        <x:v>299200</x:v>
      </x:c>
      <x:c r="E110" s="22" t="str">
        <x:v>Fictional illustrative value</x:v>
      </x:c>
    </x:row>
    <x:row r="111">
      <x:c r="A111" s="20" t="str">
        <x:v>2025-11</x:v>
      </x:c>
      <x:c r="B111" s="20" t="str">
        <x:v>Cloud and delivery</x:v>
      </x:c>
      <x:c r="C111" s="20" t="str">
        <x:v>COGS</x:v>
      </x:c>
      <x:c r="D111" s="18" t="n">
        <x:v>178000</x:v>
      </x:c>
      <x:c r="E111" s="22" t="str">
        <x:v>Fictional illustrative value</x:v>
      </x:c>
    </x:row>
    <x:row r="112">
      <x:c r="A112" s="20" t="str">
        <x:v>2025-11</x:v>
      </x:c>
      <x:c r="B112" s="20" t="str">
        <x:v>Payroll</x:v>
      </x:c>
      <x:c r="C112" s="20" t="str">
        <x:v>Opex</x:v>
      </x:c>
      <x:c r="D112" s="18" t="n">
        <x:v>335900</x:v>
      </x:c>
      <x:c r="E112" s="22" t="str">
        <x:v>Fictional illustrative value</x:v>
      </x:c>
    </x:row>
    <x:row r="113">
      <x:c r="A113" s="20" t="str">
        <x:v>2025-11</x:v>
      </x:c>
      <x:c r="B113" s="20" t="str">
        <x:v>Rent and utilities</x:v>
      </x:c>
      <x:c r="C113" s="20" t="str">
        <x:v>Opex</x:v>
      </x:c>
      <x:c r="D113" s="18" t="n">
        <x:v>59100</x:v>
      </x:c>
      <x:c r="E113" s="22" t="str">
        <x:v>Fictional illustrative value</x:v>
      </x:c>
    </x:row>
    <x:row r="114">
      <x:c r="A114" s="20" t="str">
        <x:v>2025-11</x:v>
      </x:c>
      <x:c r="B114" s="20" t="str">
        <x:v>Sales and marketing</x:v>
      </x:c>
      <x:c r="C114" s="20" t="str">
        <x:v>Opex</x:v>
      </x:c>
      <x:c r="D114" s="18" t="n">
        <x:v>60900</x:v>
      </x:c>
      <x:c r="E114" s="22" t="str">
        <x:v>Fictional illustrative value</x:v>
      </x:c>
    </x:row>
    <x:row r="115">
      <x:c r="A115" s="20" t="str">
        <x:v>2025-11</x:v>
      </x:c>
      <x:c r="B115" s="20" t="str">
        <x:v>Internal software</x:v>
      </x:c>
      <x:c r="C115" s="20" t="str">
        <x:v>Opex</x:v>
      </x:c>
      <x:c r="D115" s="18" t="n">
        <x:v>45300</x:v>
      </x:c>
      <x:c r="E115" s="22" t="str">
        <x:v>Fictional illustrative value</x:v>
      </x:c>
    </x:row>
    <x:row r="116">
      <x:c r="A116" s="20" t="str">
        <x:v>2025-11</x:v>
      </x:c>
      <x:c r="B116" s="20" t="str">
        <x:v>Admin and travel</x:v>
      </x:c>
      <x:c r="C116" s="20" t="str">
        <x:v>Opex</x:v>
      </x:c>
      <x:c r="D116" s="18" t="n">
        <x:v>39000</x:v>
      </x:c>
      <x:c r="E116" s="22" t="str">
        <x:v>Fictional illustrative value</x:v>
      </x:c>
    </x:row>
    <x:row r="117">
      <x:c r="A117" s="20" t="str">
        <x:v>2025-12</x:v>
      </x:c>
      <x:c r="B117" s="20" t="str">
        <x:v>Software implementation</x:v>
      </x:c>
      <x:c r="C117" s="20" t="str">
        <x:v>Revenue</x:v>
      </x:c>
      <x:c r="D117" s="18" t="n">
        <x:v>781100</x:v>
      </x:c>
      <x:c r="E117" s="22" t="str">
        <x:v>Fictional illustrative value</x:v>
      </x:c>
    </x:row>
    <x:row r="118">
      <x:c r="A118" s="20" t="str">
        <x:v>2025-12</x:v>
      </x:c>
      <x:c r="B118" s="20" t="str">
        <x:v>Recurring support</x:v>
      </x:c>
      <x:c r="C118" s="20" t="str">
        <x:v>Revenue</x:v>
      </x:c>
      <x:c r="D118" s="18" t="n">
        <x:v>468900</x:v>
      </x:c>
      <x:c r="E118" s="22" t="str">
        <x:v>Fictional illustrative value</x:v>
      </x:c>
    </x:row>
    <x:row r="119">
      <x:c r="A119" s="20" t="str">
        <x:v>2025-12</x:v>
      </x:c>
      <x:c r="B119" s="20" t="str">
        <x:v>Consulting projects</x:v>
      </x:c>
      <x:c r="C119" s="20" t="str">
        <x:v>Revenue</x:v>
      </x:c>
      <x:c r="D119" s="18" t="n">
        <x:v>372000</x:v>
      </x:c>
      <x:c r="E119" s="22" t="str">
        <x:v>Fictional illustrative value</x:v>
      </x:c>
    </x:row>
    <x:row r="120">
      <x:c r="A120" s="20" t="str">
        <x:v>2025-12</x:v>
      </x:c>
      <x:c r="B120" s="20" t="str">
        <x:v>Contractor delivery</x:v>
      </x:c>
      <x:c r="C120" s="20" t="str">
        <x:v>COGS</x:v>
      </x:c>
      <x:c r="D120" s="18" t="n">
        <x:v>313300</x:v>
      </x:c>
      <x:c r="E120" s="22" t="str">
        <x:v>Fictional illustrative value</x:v>
      </x:c>
    </x:row>
    <x:row r="121">
      <x:c r="A121" s="20" t="str">
        <x:v>2025-12</x:v>
      </x:c>
      <x:c r="B121" s="20" t="str">
        <x:v>Cloud and delivery</x:v>
      </x:c>
      <x:c r="C121" s="20" t="str">
        <x:v>COGS</x:v>
      </x:c>
      <x:c r="D121" s="18" t="n">
        <x:v>190500</x:v>
      </x:c>
      <x:c r="E121" s="22" t="str">
        <x:v>Fictional illustrative value</x:v>
      </x:c>
    </x:row>
    <x:row r="122">
      <x:c r="A122" s="20" t="str">
        <x:v>2025-12</x:v>
      </x:c>
      <x:c r="B122" s="20" t="str">
        <x:v>Payroll</x:v>
      </x:c>
      <x:c r="C122" s="20" t="str">
        <x:v>Opex</x:v>
      </x:c>
      <x:c r="D122" s="18" t="n">
        <x:v>365400</x:v>
      </x:c>
      <x:c r="E122" s="22" t="str">
        <x:v>Fictional illustrative value</x:v>
      </x:c>
    </x:row>
    <x:row r="123">
      <x:c r="A123" s="20" t="str">
        <x:v>2025-12</x:v>
      </x:c>
      <x:c r="B123" s="20" t="str">
        <x:v>Rent and utilities</x:v>
      </x:c>
      <x:c r="C123" s="20" t="str">
        <x:v>Opex</x:v>
      </x:c>
      <x:c r="D123" s="18" t="n">
        <x:v>64800</x:v>
      </x:c>
      <x:c r="E123" s="22" t="str">
        <x:v>Fictional illustrative value</x:v>
      </x:c>
    </x:row>
    <x:row r="124">
      <x:c r="A124" s="20" t="str">
        <x:v>2025-12</x:v>
      </x:c>
      <x:c r="B124" s="20" t="str">
        <x:v>Sales and marketing</x:v>
      </x:c>
      <x:c r="C124" s="20" t="str">
        <x:v>Opex</x:v>
      </x:c>
      <x:c r="D124" s="18" t="n">
        <x:v>66500</x:v>
      </x:c>
      <x:c r="E124" s="22" t="str">
        <x:v>Fictional illustrative value</x:v>
      </x:c>
    </x:row>
    <x:row r="125">
      <x:c r="A125" s="20" t="str">
        <x:v>2025-12</x:v>
      </x:c>
      <x:c r="B125" s="20" t="str">
        <x:v>Internal software</x:v>
      </x:c>
      <x:c r="C125" s="20" t="str">
        <x:v>Opex</x:v>
      </x:c>
      <x:c r="D125" s="18" t="n">
        <x:v>48900</x:v>
      </x:c>
      <x:c r="E125" s="22" t="str">
        <x:v>Fictional illustrative value</x:v>
      </x:c>
    </x:row>
    <x:row r="126">
      <x:c r="A126" s="20" t="str">
        <x:v>2025-12</x:v>
      </x:c>
      <x:c r="B126" s="20" t="str">
        <x:v>Admin and travel</x:v>
      </x:c>
      <x:c r="C126" s="20" t="str">
        <x:v>Opex</x:v>
      </x:c>
      <x:c r="D126" s="18" t="n">
        <x:v>41300</x:v>
      </x:c>
      <x:c r="E126" s="22" t="str">
        <x:v>Fictional illustrative value</x:v>
      </x:c>
    </x:row>
  </x:sheetData>
  <x:mergeCells>
    <x:mergeCell ref="A1:E2"/>
    <x:mergeCell ref="A3:E3"/>
  </x:mergeCells>
  <x:pageMargins left="0.7" right="0.7" top="0.75" bottom="0.75" header="0.3" footer="0.3"/>
  <x:tableParts count="1">
    <x:tablePart xmlns:r="http://schemas.openxmlformats.org/officeDocument/2006/relationships" r:id="R0aad65e4001d4204"/>
  </x:tableParts>
</x:worksheet>
</file>

<file path=xl/worksheets/sheet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6" hidden="0" customWidth="1"/>
    <x:col min="2" max="2" width="28" hidden="0" customWidth="1"/>
    <x:col min="3" max="3" width="15" hidden="0" customWidth="1"/>
    <x:col min="4" max="4" width="19" hidden="0" customWidth="1"/>
    <x:col min="5" max="5" width="30" hidden="0" customWidth="1"/>
  </x:cols>
  <x:sheetData>
    <x:row r="1" ht="24" customHeight="1">
      <x:c r="A1" s="4" t="str">
        <x:v>BUDGET INPUTS · FY2025</x:v>
      </x:c>
      <x:c r="B1" s="4"/>
      <x:c r="C1" s="4"/>
      <x:c r="D1" s="4"/>
      <x:c r="E1" s="4"/>
    </x:row>
    <x:row r="2" ht="24" customHeight="1">
      <x:c r="A2" s="4"/>
      <x:c r="B2" s="4"/>
      <x:c r="C2" s="4"/>
      <x:c r="D2" s="4"/>
      <x:c r="E2" s="4"/>
    </x:row>
    <x:row r="3" ht="22" customHeight="1">
      <x:c r="A3" s="9" t="str">
        <x:v>Synthetic training data | INR | Changes to the blue input numbers flow into the reports</x:v>
      </x:c>
      <x:c r="B3" s="9"/>
      <x:c r="C3" s="9"/>
      <x:c r="D3" s="9"/>
      <x:c r="E3" s="9"/>
    </x:row>
    <x:row r="6" ht="26" customHeight="1">
      <x:c r="A6" s="13" t="str">
        <x:v>Period</x:v>
      </x:c>
      <x:c r="B6" s="13" t="str">
        <x:v>Account / Category</x:v>
      </x:c>
      <x:c r="C6" s="13" t="str">
        <x:v>P&amp;L group</x:v>
      </x:c>
      <x:c r="D6" s="13" t="str">
        <x:v>Amount (₹)</x:v>
      </x:c>
      <x:c r="E6" s="13" t="str">
        <x:v>Input source</x:v>
      </x:c>
    </x:row>
    <x:row r="7">
      <x:c r="A7" s="20" t="str">
        <x:v>2025-01</x:v>
      </x:c>
      <x:c r="B7" s="20" t="str">
        <x:v>Software implementation</x:v>
      </x:c>
      <x:c r="C7" s="20" t="str">
        <x:v>Revenue</x:v>
      </x:c>
      <x:c r="D7" s="18" t="n">
        <x:v>560000</x:v>
      </x:c>
      <x:c r="E7" s="22" t="str">
        <x:v>Fictional illustrative value</x:v>
      </x:c>
    </x:row>
    <x:row r="8">
      <x:c r="A8" s="20" t="str">
        <x:v>2025-01</x:v>
      </x:c>
      <x:c r="B8" s="20" t="str">
        <x:v>Recurring support</x:v>
      </x:c>
      <x:c r="C8" s="20" t="str">
        <x:v>Revenue</x:v>
      </x:c>
      <x:c r="D8" s="18" t="n">
        <x:v>341800</x:v>
      </x:c>
      <x:c r="E8" s="22" t="str">
        <x:v>Fictional illustrative value</x:v>
      </x:c>
    </x:row>
    <x:row r="9">
      <x:c r="A9" s="20" t="str">
        <x:v>2025-01</x:v>
      </x:c>
      <x:c r="B9" s="20" t="str">
        <x:v>Consulting projects</x:v>
      </x:c>
      <x:c r="C9" s="20" t="str">
        <x:v>Revenue</x:v>
      </x:c>
      <x:c r="D9" s="18" t="n">
        <x:v>272600</x:v>
      </x:c>
      <x:c r="E9" s="22" t="str">
        <x:v>Fictional illustrative value</x:v>
      </x:c>
    </x:row>
    <x:row r="10">
      <x:c r="A10" s="20" t="str">
        <x:v>2025-01</x:v>
      </x:c>
      <x:c r="B10" s="20" t="str">
        <x:v>Contractor delivery</x:v>
      </x:c>
      <x:c r="C10" s="20" t="str">
        <x:v>COGS</x:v>
      </x:c>
      <x:c r="D10" s="18" t="n">
        <x:v>227900</x:v>
      </x:c>
      <x:c r="E10" s="22" t="str">
        <x:v>Fictional illustrative value</x:v>
      </x:c>
    </x:row>
    <x:row r="11">
      <x:c r="A11" s="20" t="str">
        <x:v>2025-01</x:v>
      </x:c>
      <x:c r="B11" s="20" t="str">
        <x:v>Cloud and delivery</x:v>
      </x:c>
      <x:c r="C11" s="20" t="str">
        <x:v>COGS</x:v>
      </x:c>
      <x:c r="D11" s="18" t="n">
        <x:v>135900</x:v>
      </x:c>
      <x:c r="E11" s="22" t="str">
        <x:v>Fictional illustrative value</x:v>
      </x:c>
    </x:row>
    <x:row r="12">
      <x:c r="A12" s="20" t="str">
        <x:v>2025-01</x:v>
      </x:c>
      <x:c r="B12" s="20" t="str">
        <x:v>Payroll</x:v>
      </x:c>
      <x:c r="C12" s="20" t="str">
        <x:v>Opex</x:v>
      </x:c>
      <x:c r="D12" s="18" t="n">
        <x:v>253300</x:v>
      </x:c>
      <x:c r="E12" s="22" t="str">
        <x:v>Fictional illustrative value</x:v>
      </x:c>
    </x:row>
    <x:row r="13">
      <x:c r="A13" s="20" t="str">
        <x:v>2025-01</x:v>
      </x:c>
      <x:c r="B13" s="20" t="str">
        <x:v>Rent and utilities</x:v>
      </x:c>
      <x:c r="C13" s="20" t="str">
        <x:v>Opex</x:v>
      </x:c>
      <x:c r="D13" s="18" t="n">
        <x:v>43500</x:v>
      </x:c>
      <x:c r="E13" s="22" t="str">
        <x:v>Fictional illustrative value</x:v>
      </x:c>
    </x:row>
    <x:row r="14">
      <x:c r="A14" s="20" t="str">
        <x:v>2025-01</x:v>
      </x:c>
      <x:c r="B14" s="20" t="str">
        <x:v>Sales and marketing</x:v>
      </x:c>
      <x:c r="C14" s="20" t="str">
        <x:v>Opex</x:v>
      </x:c>
      <x:c r="D14" s="18" t="n">
        <x:v>43300</x:v>
      </x:c>
      <x:c r="E14" s="22" t="str">
        <x:v>Fictional illustrative value</x:v>
      </x:c>
    </x:row>
    <x:row r="15">
      <x:c r="A15" s="20" t="str">
        <x:v>2025-01</x:v>
      </x:c>
      <x:c r="B15" s="20" t="str">
        <x:v>Internal software</x:v>
      </x:c>
      <x:c r="C15" s="20" t="str">
        <x:v>Opex</x:v>
      </x:c>
      <x:c r="D15" s="18" t="n">
        <x:v>31000</x:v>
      </x:c>
      <x:c r="E15" s="22" t="str">
        <x:v>Fictional illustrative value</x:v>
      </x:c>
    </x:row>
    <x:row r="16">
      <x:c r="A16" s="20" t="str">
        <x:v>2025-01</x:v>
      </x:c>
      <x:c r="B16" s="20" t="str">
        <x:v>Admin and travel</x:v>
      </x:c>
      <x:c r="C16" s="20" t="str">
        <x:v>Opex</x:v>
      </x:c>
      <x:c r="D16" s="18" t="n">
        <x:v>25900</x:v>
      </x:c>
      <x:c r="E16" s="22" t="str">
        <x:v>Fictional illustrative value</x:v>
      </x:c>
    </x:row>
    <x:row r="17">
      <x:c r="A17" s="20" t="str">
        <x:v>2025-02</x:v>
      </x:c>
      <x:c r="B17" s="20" t="str">
        <x:v>Software implementation</x:v>
      </x:c>
      <x:c r="C17" s="20" t="str">
        <x:v>Revenue</x:v>
      </x:c>
      <x:c r="D17" s="18" t="n">
        <x:v>587000</x:v>
      </x:c>
      <x:c r="E17" s="22" t="str">
        <x:v>Fictional illustrative value</x:v>
      </x:c>
    </x:row>
    <x:row r="18">
      <x:c r="A18" s="20" t="str">
        <x:v>2025-02</x:v>
      </x:c>
      <x:c r="B18" s="20" t="str">
        <x:v>Recurring support</x:v>
      </x:c>
      <x:c r="C18" s="20" t="str">
        <x:v>Revenue</x:v>
      </x:c>
      <x:c r="D18" s="18" t="n">
        <x:v>357700</x:v>
      </x:c>
      <x:c r="E18" s="22" t="str">
        <x:v>Fictional illustrative value</x:v>
      </x:c>
    </x:row>
    <x:row r="19">
      <x:c r="A19" s="20" t="str">
        <x:v>2025-02</x:v>
      </x:c>
      <x:c r="B19" s="20" t="str">
        <x:v>Consulting projects</x:v>
      </x:c>
      <x:c r="C19" s="20" t="str">
        <x:v>Revenue</x:v>
      </x:c>
      <x:c r="D19" s="18" t="n">
        <x:v>284600</x:v>
      </x:c>
      <x:c r="E19" s="22" t="str">
        <x:v>Fictional illustrative value</x:v>
      </x:c>
    </x:row>
    <x:row r="20">
      <x:c r="A20" s="20" t="str">
        <x:v>2025-02</x:v>
      </x:c>
      <x:c r="B20" s="20" t="str">
        <x:v>Contractor delivery</x:v>
      </x:c>
      <x:c r="C20" s="20" t="str">
        <x:v>COGS</x:v>
      </x:c>
      <x:c r="D20" s="18" t="n">
        <x:v>237200</x:v>
      </x:c>
      <x:c r="E20" s="22" t="str">
        <x:v>Fictional illustrative value</x:v>
      </x:c>
    </x:row>
    <x:row r="21">
      <x:c r="A21" s="20" t="str">
        <x:v>2025-02</x:v>
      </x:c>
      <x:c r="B21" s="20" t="str">
        <x:v>Cloud and delivery</x:v>
      </x:c>
      <x:c r="C21" s="20" t="str">
        <x:v>COGS</x:v>
      </x:c>
      <x:c r="D21" s="18" t="n">
        <x:v>141000</x:v>
      </x:c>
      <x:c r="E21" s="22" t="str">
        <x:v>Fictional illustrative value</x:v>
      </x:c>
    </x:row>
    <x:row r="22">
      <x:c r="A22" s="20" t="str">
        <x:v>2025-02</x:v>
      </x:c>
      <x:c r="B22" s="20" t="str">
        <x:v>Payroll</x:v>
      </x:c>
      <x:c r="C22" s="20" t="str">
        <x:v>Opex</x:v>
      </x:c>
      <x:c r="D22" s="18" t="n">
        <x:v>262200</x:v>
      </x:c>
      <x:c r="E22" s="22" t="str">
        <x:v>Fictional illustrative value</x:v>
      </x:c>
    </x:row>
    <x:row r="23">
      <x:c r="A23" s="20" t="str">
        <x:v>2025-02</x:v>
      </x:c>
      <x:c r="B23" s="20" t="str">
        <x:v>Rent and utilities</x:v>
      </x:c>
      <x:c r="C23" s="20" t="str">
        <x:v>Opex</x:v>
      </x:c>
      <x:c r="D23" s="18" t="n">
        <x:v>44900</x:v>
      </x:c>
      <x:c r="E23" s="22" t="str">
        <x:v>Fictional illustrative value</x:v>
      </x:c>
    </x:row>
    <x:row r="24">
      <x:c r="A24" s="20" t="str">
        <x:v>2025-02</x:v>
      </x:c>
      <x:c r="B24" s="20" t="str">
        <x:v>Sales and marketing</x:v>
      </x:c>
      <x:c r="C24" s="20" t="str">
        <x:v>Opex</x:v>
      </x:c>
      <x:c r="D24" s="18" t="n">
        <x:v>44600</x:v>
      </x:c>
      <x:c r="E24" s="22" t="str">
        <x:v>Fictional illustrative value</x:v>
      </x:c>
    </x:row>
    <x:row r="25">
      <x:c r="A25" s="20" t="str">
        <x:v>2025-02</x:v>
      </x:c>
      <x:c r="B25" s="20" t="str">
        <x:v>Internal software</x:v>
      </x:c>
      <x:c r="C25" s="20" t="str">
        <x:v>Opex</x:v>
      </x:c>
      <x:c r="D25" s="18" t="n">
        <x:v>32000</x:v>
      </x:c>
      <x:c r="E25" s="22" t="str">
        <x:v>Fictional illustrative value</x:v>
      </x:c>
    </x:row>
    <x:row r="26">
      <x:c r="A26" s="20" t="str">
        <x:v>2025-02</x:v>
      </x:c>
      <x:c r="B26" s="20" t="str">
        <x:v>Admin and travel</x:v>
      </x:c>
      <x:c r="C26" s="20" t="str">
        <x:v>Opex</x:v>
      </x:c>
      <x:c r="D26" s="18" t="n">
        <x:v>26700</x:v>
      </x:c>
      <x:c r="E26" s="22" t="str">
        <x:v>Fictional illustrative value</x:v>
      </x:c>
    </x:row>
    <x:row r="27">
      <x:c r="A27" s="20" t="str">
        <x:v>2025-03</x:v>
      </x:c>
      <x:c r="B27" s="20" t="str">
        <x:v>Software implementation</x:v>
      </x:c>
      <x:c r="C27" s="20" t="str">
        <x:v>Revenue</x:v>
      </x:c>
      <x:c r="D27" s="18" t="n">
        <x:v>612700</x:v>
      </x:c>
      <x:c r="E27" s="22" t="str">
        <x:v>Fictional illustrative value</x:v>
      </x:c>
    </x:row>
    <x:row r="28">
      <x:c r="A28" s="20" t="str">
        <x:v>2025-03</x:v>
      </x:c>
      <x:c r="B28" s="20" t="str">
        <x:v>Recurring support</x:v>
      </x:c>
      <x:c r="C28" s="20" t="str">
        <x:v>Revenue</x:v>
      </x:c>
      <x:c r="D28" s="18" t="n">
        <x:v>372300</x:v>
      </x:c>
      <x:c r="E28" s="22" t="str">
        <x:v>Fictional illustrative value</x:v>
      </x:c>
    </x:row>
    <x:row r="29">
      <x:c r="A29" s="20" t="str">
        <x:v>2025-03</x:v>
      </x:c>
      <x:c r="B29" s="20" t="str">
        <x:v>Consulting projects</x:v>
      </x:c>
      <x:c r="C29" s="20" t="str">
        <x:v>Revenue</x:v>
      </x:c>
      <x:c r="D29" s="18" t="n">
        <x:v>295400</x:v>
      </x:c>
      <x:c r="E29" s="22" t="str">
        <x:v>Fictional illustrative value</x:v>
      </x:c>
    </x:row>
    <x:row r="30">
      <x:c r="A30" s="20" t="str">
        <x:v>2025-03</x:v>
      </x:c>
      <x:c r="B30" s="20" t="str">
        <x:v>Contractor delivery</x:v>
      </x:c>
      <x:c r="C30" s="20" t="str">
        <x:v>COGS</x:v>
      </x:c>
      <x:c r="D30" s="18" t="n">
        <x:v>245400</x:v>
      </x:c>
      <x:c r="E30" s="22" t="str">
        <x:v>Fictional illustrative value</x:v>
      </x:c>
    </x:row>
    <x:row r="31">
      <x:c r="A31" s="20" t="str">
        <x:v>2025-03</x:v>
      </x:c>
      <x:c r="B31" s="20" t="str">
        <x:v>Cloud and delivery</x:v>
      </x:c>
      <x:c r="C31" s="20" t="str">
        <x:v>COGS</x:v>
      </x:c>
      <x:c r="D31" s="18" t="n">
        <x:v>145500</x:v>
      </x:c>
      <x:c r="E31" s="22" t="str">
        <x:v>Fictional illustrative value</x:v>
      </x:c>
    </x:row>
    <x:row r="32">
      <x:c r="A32" s="20" t="str">
        <x:v>2025-03</x:v>
      </x:c>
      <x:c r="B32" s="20" t="str">
        <x:v>Payroll</x:v>
      </x:c>
      <x:c r="C32" s="20" t="str">
        <x:v>Opex</x:v>
      </x:c>
      <x:c r="D32" s="18" t="n">
        <x:v>270200</x:v>
      </x:c>
      <x:c r="E32" s="22" t="str">
        <x:v>Fictional illustrative value</x:v>
      </x:c>
    </x:row>
    <x:row r="33">
      <x:c r="A33" s="20" t="str">
        <x:v>2025-03</x:v>
      </x:c>
      <x:c r="B33" s="20" t="str">
        <x:v>Rent and utilities</x:v>
      </x:c>
      <x:c r="C33" s="20" t="str">
        <x:v>Opex</x:v>
      </x:c>
      <x:c r="D33" s="18" t="n">
        <x:v>46200</x:v>
      </x:c>
      <x:c r="E33" s="22" t="str">
        <x:v>Fictional illustrative value</x:v>
      </x:c>
    </x:row>
    <x:row r="34">
      <x:c r="A34" s="20" t="str">
        <x:v>2025-03</x:v>
      </x:c>
      <x:c r="B34" s="20" t="str">
        <x:v>Sales and marketing</x:v>
      </x:c>
      <x:c r="C34" s="20" t="str">
        <x:v>Opex</x:v>
      </x:c>
      <x:c r="D34" s="18" t="n">
        <x:v>46000</x:v>
      </x:c>
      <x:c r="E34" s="22" t="str">
        <x:v>Fictional illustrative value</x:v>
      </x:c>
    </x:row>
    <x:row r="35">
      <x:c r="A35" s="20" t="str">
        <x:v>2025-03</x:v>
      </x:c>
      <x:c r="B35" s="20" t="str">
        <x:v>Internal software</x:v>
      </x:c>
      <x:c r="C35" s="20" t="str">
        <x:v>Opex</x:v>
      </x:c>
      <x:c r="D35" s="18" t="n">
        <x:v>33100</x:v>
      </x:c>
      <x:c r="E35" s="22" t="str">
        <x:v>Fictional illustrative value</x:v>
      </x:c>
    </x:row>
    <x:row r="36">
      <x:c r="A36" s="20" t="str">
        <x:v>2025-03</x:v>
      </x:c>
      <x:c r="B36" s="20" t="str">
        <x:v>Admin and travel</x:v>
      </x:c>
      <x:c r="C36" s="20" t="str">
        <x:v>Opex</x:v>
      </x:c>
      <x:c r="D36" s="18" t="n">
        <x:v>27700</x:v>
      </x:c>
      <x:c r="E36" s="22" t="str">
        <x:v>Fictional illustrative value</x:v>
      </x:c>
    </x:row>
    <x:row r="37">
      <x:c r="A37" s="20" t="str">
        <x:v>2025-04</x:v>
      </x:c>
      <x:c r="B37" s="20" t="str">
        <x:v>Software implementation</x:v>
      </x:c>
      <x:c r="C37" s="20" t="str">
        <x:v>Revenue</x:v>
      </x:c>
      <x:c r="D37" s="18" t="n">
        <x:v>635800</x:v>
      </x:c>
      <x:c r="E37" s="22" t="str">
        <x:v>Fictional illustrative value</x:v>
      </x:c>
    </x:row>
    <x:row r="38">
      <x:c r="A38" s="20" t="str">
        <x:v>2025-04</x:v>
      </x:c>
      <x:c r="B38" s="20" t="str">
        <x:v>Recurring support</x:v>
      </x:c>
      <x:c r="C38" s="20" t="str">
        <x:v>Revenue</x:v>
      </x:c>
      <x:c r="D38" s="18" t="n">
        <x:v>385200</x:v>
      </x:c>
      <x:c r="E38" s="22" t="str">
        <x:v>Fictional illustrative value</x:v>
      </x:c>
    </x:row>
    <x:row r="39">
      <x:c r="A39" s="20" t="str">
        <x:v>2025-04</x:v>
      </x:c>
      <x:c r="B39" s="20" t="str">
        <x:v>Consulting projects</x:v>
      </x:c>
      <x:c r="C39" s="20" t="str">
        <x:v>Revenue</x:v>
      </x:c>
      <x:c r="D39" s="18" t="n">
        <x:v>304700</x:v>
      </x:c>
      <x:c r="E39" s="22" t="str">
        <x:v>Fictional illustrative value</x:v>
      </x:c>
    </x:row>
    <x:row r="40">
      <x:c r="A40" s="20" t="str">
        <x:v>2025-04</x:v>
      </x:c>
      <x:c r="B40" s="20" t="str">
        <x:v>Contractor delivery</x:v>
      </x:c>
      <x:c r="C40" s="20" t="str">
        <x:v>COGS</x:v>
      </x:c>
      <x:c r="D40" s="18" t="n">
        <x:v>252700</x:v>
      </x:c>
      <x:c r="E40" s="22" t="str">
        <x:v>Fictional illustrative value</x:v>
      </x:c>
    </x:row>
    <x:row r="41">
      <x:c r="A41" s="20" t="str">
        <x:v>2025-04</x:v>
      </x:c>
      <x:c r="B41" s="20" t="str">
        <x:v>Cloud and delivery</x:v>
      </x:c>
      <x:c r="C41" s="20" t="str">
        <x:v>COGS</x:v>
      </x:c>
      <x:c r="D41" s="18" t="n">
        <x:v>149700</x:v>
      </x:c>
      <x:c r="E41" s="22" t="str">
        <x:v>Fictional illustrative value</x:v>
      </x:c>
    </x:row>
    <x:row r="42">
      <x:c r="A42" s="20" t="str">
        <x:v>2025-04</x:v>
      </x:c>
      <x:c r="B42" s="20" t="str">
        <x:v>Payroll</x:v>
      </x:c>
      <x:c r="C42" s="20" t="str">
        <x:v>Opex</x:v>
      </x:c>
      <x:c r="D42" s="18" t="n">
        <x:v>277900</x:v>
      </x:c>
      <x:c r="E42" s="22" t="str">
        <x:v>Fictional illustrative value</x:v>
      </x:c>
    </x:row>
    <x:row r="43">
      <x:c r="A43" s="20" t="str">
        <x:v>2025-04</x:v>
      </x:c>
      <x:c r="B43" s="20" t="str">
        <x:v>Rent and utilities</x:v>
      </x:c>
      <x:c r="C43" s="20" t="str">
        <x:v>Opex</x:v>
      </x:c>
      <x:c r="D43" s="18" t="n">
        <x:v>47600</x:v>
      </x:c>
      <x:c r="E43" s="22" t="str">
        <x:v>Fictional illustrative value</x:v>
      </x:c>
    </x:row>
    <x:row r="44">
      <x:c r="A44" s="20" t="str">
        <x:v>2025-04</x:v>
      </x:c>
      <x:c r="B44" s="20" t="str">
        <x:v>Sales and marketing</x:v>
      </x:c>
      <x:c r="C44" s="20" t="str">
        <x:v>Opex</x:v>
      </x:c>
      <x:c r="D44" s="18" t="n">
        <x:v>47500</x:v>
      </x:c>
      <x:c r="E44" s="22" t="str">
        <x:v>Fictional illustrative value</x:v>
      </x:c>
    </x:row>
    <x:row r="45">
      <x:c r="A45" s="20" t="str">
        <x:v>2025-04</x:v>
      </x:c>
      <x:c r="B45" s="20" t="str">
        <x:v>Internal software</x:v>
      </x:c>
      <x:c r="C45" s="20" t="str">
        <x:v>Opex</x:v>
      </x:c>
      <x:c r="D45" s="18" t="n">
        <x:v>34200</x:v>
      </x:c>
      <x:c r="E45" s="22" t="str">
        <x:v>Fictional illustrative value</x:v>
      </x:c>
    </x:row>
    <x:row r="46">
      <x:c r="A46" s="20" t="str">
        <x:v>2025-04</x:v>
      </x:c>
      <x:c r="B46" s="20" t="str">
        <x:v>Admin and travel</x:v>
      </x:c>
      <x:c r="C46" s="20" t="str">
        <x:v>Opex</x:v>
      </x:c>
      <x:c r="D46" s="18" t="n">
        <x:v>28800</x:v>
      </x:c>
      <x:c r="E46" s="22" t="str">
        <x:v>Fictional illustrative value</x:v>
      </x:c>
    </x:row>
    <x:row r="47">
      <x:c r="A47" s="20" t="str">
        <x:v>2025-05</x:v>
      </x:c>
      <x:c r="B47" s="20" t="str">
        <x:v>Software implementation</x:v>
      </x:c>
      <x:c r="C47" s="20" t="str">
        <x:v>Revenue</x:v>
      </x:c>
      <x:c r="D47" s="18" t="n">
        <x:v>655700</x:v>
      </x:c>
      <x:c r="E47" s="22" t="str">
        <x:v>Fictional illustrative value</x:v>
      </x:c>
    </x:row>
    <x:row r="48">
      <x:c r="A48" s="20" t="str">
        <x:v>2025-05</x:v>
      </x:c>
      <x:c r="B48" s="20" t="str">
        <x:v>Recurring support</x:v>
      </x:c>
      <x:c r="C48" s="20" t="str">
        <x:v>Revenue</x:v>
      </x:c>
      <x:c r="D48" s="18" t="n">
        <x:v>396400</x:v>
      </x:c>
      <x:c r="E48" s="22" t="str">
        <x:v>Fictional illustrative value</x:v>
      </x:c>
    </x:row>
    <x:row r="49">
      <x:c r="A49" s="20" t="str">
        <x:v>2025-05</x:v>
      </x:c>
      <x:c r="B49" s="20" t="str">
        <x:v>Consulting projects</x:v>
      </x:c>
      <x:c r="C49" s="20" t="str">
        <x:v>Revenue</x:v>
      </x:c>
      <x:c r="D49" s="18" t="n">
        <x:v>313100</x:v>
      </x:c>
      <x:c r="E49" s="22" t="str">
        <x:v>Fictional illustrative value</x:v>
      </x:c>
    </x:row>
    <x:row r="50">
      <x:c r="A50" s="20" t="str">
        <x:v>2025-05</x:v>
      </x:c>
      <x:c r="B50" s="20" t="str">
        <x:v>Contractor delivery</x:v>
      </x:c>
      <x:c r="C50" s="20" t="str">
        <x:v>COGS</x:v>
      </x:c>
      <x:c r="D50" s="18" t="n">
        <x:v>259600</x:v>
      </x:c>
      <x:c r="E50" s="22" t="str">
        <x:v>Fictional illustrative value</x:v>
      </x:c>
    </x:row>
    <x:row r="51">
      <x:c r="A51" s="20" t="str">
        <x:v>2025-05</x:v>
      </x:c>
      <x:c r="B51" s="20" t="str">
        <x:v>Cloud and delivery</x:v>
      </x:c>
      <x:c r="C51" s="20" t="str">
        <x:v>COGS</x:v>
      </x:c>
      <x:c r="D51" s="18" t="n">
        <x:v>153900</x:v>
      </x:c>
      <x:c r="E51" s="22" t="str">
        <x:v>Fictional illustrative value</x:v>
      </x:c>
    </x:row>
    <x:row r="52">
      <x:c r="A52" s="20" t="str">
        <x:v>2025-05</x:v>
      </x:c>
      <x:c r="B52" s="20" t="str">
        <x:v>Payroll</x:v>
      </x:c>
      <x:c r="C52" s="20" t="str">
        <x:v>Opex</x:v>
      </x:c>
      <x:c r="D52" s="18" t="n">
        <x:v>286300</x:v>
      </x:c>
      <x:c r="E52" s="22" t="str">
        <x:v>Fictional illustrative value</x:v>
      </x:c>
    </x:row>
    <x:row r="53">
      <x:c r="A53" s="20" t="str">
        <x:v>2025-05</x:v>
      </x:c>
      <x:c r="B53" s="20" t="str">
        <x:v>Rent and utilities</x:v>
      </x:c>
      <x:c r="C53" s="20" t="str">
        <x:v>Opex</x:v>
      </x:c>
      <x:c r="D53" s="18" t="n">
        <x:v>49200</x:v>
      </x:c>
      <x:c r="E53" s="22" t="str">
        <x:v>Fictional illustrative value</x:v>
      </x:c>
    </x:row>
    <x:row r="54">
      <x:c r="A54" s="20" t="str">
        <x:v>2025-05</x:v>
      </x:c>
      <x:c r="B54" s="20" t="str">
        <x:v>Sales and marketing</x:v>
      </x:c>
      <x:c r="C54" s="20" t="str">
        <x:v>Opex</x:v>
      </x:c>
      <x:c r="D54" s="18" t="n">
        <x:v>49200</x:v>
      </x:c>
      <x:c r="E54" s="22" t="str">
        <x:v>Fictional illustrative value</x:v>
      </x:c>
    </x:row>
    <x:row r="55">
      <x:c r="A55" s="20" t="str">
        <x:v>2025-05</x:v>
      </x:c>
      <x:c r="B55" s="20" t="str">
        <x:v>Internal software</x:v>
      </x:c>
      <x:c r="C55" s="20" t="str">
        <x:v>Opex</x:v>
      </x:c>
      <x:c r="D55" s="18" t="n">
        <x:v>35600</x:v>
      </x:c>
      <x:c r="E55" s="22" t="str">
        <x:v>Fictional illustrative value</x:v>
      </x:c>
    </x:row>
    <x:row r="56">
      <x:c r="A56" s="20" t="str">
        <x:v>2025-05</x:v>
      </x:c>
      <x:c r="B56" s="20" t="str">
        <x:v>Admin and travel</x:v>
      </x:c>
      <x:c r="C56" s="20" t="str">
        <x:v>Opex</x:v>
      </x:c>
      <x:c r="D56" s="18" t="n">
        <x:v>30000</x:v>
      </x:c>
      <x:c r="E56" s="22" t="str">
        <x:v>Fictional illustrative value</x:v>
      </x:c>
    </x:row>
    <x:row r="57">
      <x:c r="A57" s="20" t="str">
        <x:v>2025-06</x:v>
      </x:c>
      <x:c r="B57" s="20" t="str">
        <x:v>Software implementation</x:v>
      </x:c>
      <x:c r="C57" s="20" t="str">
        <x:v>Revenue</x:v>
      </x:c>
      <x:c r="D57" s="18" t="n">
        <x:v>673300</x:v>
      </x:c>
      <x:c r="E57" s="22" t="str">
        <x:v>Fictional illustrative value</x:v>
      </x:c>
    </x:row>
    <x:row r="58">
      <x:c r="A58" s="20" t="str">
        <x:v>2025-06</x:v>
      </x:c>
      <x:c r="B58" s="20" t="str">
        <x:v>Recurring support</x:v>
      </x:c>
      <x:c r="C58" s="20" t="str">
        <x:v>Revenue</x:v>
      </x:c>
      <x:c r="D58" s="18" t="n">
        <x:v>406700</x:v>
      </x:c>
      <x:c r="E58" s="22" t="str">
        <x:v>Fictional illustrative value</x:v>
      </x:c>
    </x:row>
    <x:row r="59">
      <x:c r="A59" s="20" t="str">
        <x:v>2025-06</x:v>
      </x:c>
      <x:c r="B59" s="20" t="str">
        <x:v>Consulting projects</x:v>
      </x:c>
      <x:c r="C59" s="20" t="str">
        <x:v>Revenue</x:v>
      </x:c>
      <x:c r="D59" s="18" t="n">
        <x:v>321400</x:v>
      </x:c>
      <x:c r="E59" s="22" t="str">
        <x:v>Fictional illustrative value</x:v>
      </x:c>
    </x:row>
    <x:row r="60">
      <x:c r="A60" s="20" t="str">
        <x:v>2025-06</x:v>
      </x:c>
      <x:c r="B60" s="20" t="str">
        <x:v>Contractor delivery</x:v>
      </x:c>
      <x:c r="C60" s="20" t="str">
        <x:v>COGS</x:v>
      </x:c>
      <x:c r="D60" s="18" t="n">
        <x:v>266800</x:v>
      </x:c>
      <x:c r="E60" s="22" t="str">
        <x:v>Fictional illustrative value</x:v>
      </x:c>
    </x:row>
    <x:row r="61">
      <x:c r="A61" s="20" t="str">
        <x:v>2025-06</x:v>
      </x:c>
      <x:c r="B61" s="20" t="str">
        <x:v>Cloud and delivery</x:v>
      </x:c>
      <x:c r="C61" s="20" t="str">
        <x:v>COGS</x:v>
      </x:c>
      <x:c r="D61" s="18" t="n">
        <x:v>158600</x:v>
      </x:c>
      <x:c r="E61" s="22" t="str">
        <x:v>Fictional illustrative value</x:v>
      </x:c>
    </x:row>
    <x:row r="62">
      <x:c r="A62" s="20" t="str">
        <x:v>2025-06</x:v>
      </x:c>
      <x:c r="B62" s="20" t="str">
        <x:v>Payroll</x:v>
      </x:c>
      <x:c r="C62" s="20" t="str">
        <x:v>Opex</x:v>
      </x:c>
      <x:c r="D62" s="18" t="n">
        <x:v>295900</x:v>
      </x:c>
      <x:c r="E62" s="22" t="str">
        <x:v>Fictional illustrative value</x:v>
      </x:c>
    </x:row>
    <x:row r="63">
      <x:c r="A63" s="20" t="str">
        <x:v>2025-06</x:v>
      </x:c>
      <x:c r="B63" s="20" t="str">
        <x:v>Rent and utilities</x:v>
      </x:c>
      <x:c r="C63" s="20" t="str">
        <x:v>Opex</x:v>
      </x:c>
      <x:c r="D63" s="18" t="n">
        <x:v>51000</x:v>
      </x:c>
      <x:c r="E63" s="22" t="str">
        <x:v>Fictional illustrative value</x:v>
      </x:c>
    </x:row>
    <x:row r="64">
      <x:c r="A64" s="20" t="str">
        <x:v>2025-06</x:v>
      </x:c>
      <x:c r="B64" s="20" t="str">
        <x:v>Sales and marketing</x:v>
      </x:c>
      <x:c r="C64" s="20" t="str">
        <x:v>Opex</x:v>
      </x:c>
      <x:c r="D64" s="18" t="n">
        <x:v>51200</x:v>
      </x:c>
      <x:c r="E64" s="22" t="str">
        <x:v>Fictional illustrative value</x:v>
      </x:c>
    </x:row>
    <x:row r="65">
      <x:c r="A65" s="20" t="str">
        <x:v>2025-06</x:v>
      </x:c>
      <x:c r="B65" s="20" t="str">
        <x:v>Internal software</x:v>
      </x:c>
      <x:c r="C65" s="20" t="str">
        <x:v>Opex</x:v>
      </x:c>
      <x:c r="D65" s="18" t="n">
        <x:v>37100</x:v>
      </x:c>
      <x:c r="E65" s="22" t="str">
        <x:v>Fictional illustrative value</x:v>
      </x:c>
    </x:row>
    <x:row r="66">
      <x:c r="A66" s="20" t="str">
        <x:v>2025-06</x:v>
      </x:c>
      <x:c r="B66" s="20" t="str">
        <x:v>Admin and travel</x:v>
      </x:c>
      <x:c r="C66" s="20" t="str">
        <x:v>Opex</x:v>
      </x:c>
      <x:c r="D66" s="18" t="n">
        <x:v>31300</x:v>
      </x:c>
      <x:c r="E66" s="22" t="str">
        <x:v>Fictional illustrative value</x:v>
      </x:c>
    </x:row>
    <x:row r="67">
      <x:c r="A67" s="20" t="str">
        <x:v>2025-07</x:v>
      </x:c>
      <x:c r="B67" s="20" t="str">
        <x:v>Software implementation</x:v>
      </x:c>
      <x:c r="C67" s="20" t="str">
        <x:v>Revenue</x:v>
      </x:c>
      <x:c r="D67" s="18" t="n">
        <x:v>690100</x:v>
      </x:c>
      <x:c r="E67" s="22" t="str">
        <x:v>Fictional illustrative value</x:v>
      </x:c>
    </x:row>
    <x:row r="68">
      <x:c r="A68" s="20" t="str">
        <x:v>2025-07</x:v>
      </x:c>
      <x:c r="B68" s="20" t="str">
        <x:v>Recurring support</x:v>
      </x:c>
      <x:c r="C68" s="20" t="str">
        <x:v>Revenue</x:v>
      </x:c>
      <x:c r="D68" s="18" t="n">
        <x:v>417200</x:v>
      </x:c>
      <x:c r="E68" s="22" t="str">
        <x:v>Fictional illustrative value</x:v>
      </x:c>
    </x:row>
    <x:row r="69">
      <x:c r="A69" s="20" t="str">
        <x:v>2025-07</x:v>
      </x:c>
      <x:c r="B69" s="20" t="str">
        <x:v>Consulting projects</x:v>
      </x:c>
      <x:c r="C69" s="20" t="str">
        <x:v>Revenue</x:v>
      </x:c>
      <x:c r="D69" s="18" t="n">
        <x:v>330400</x:v>
      </x:c>
      <x:c r="E69" s="22" t="str">
        <x:v>Fictional illustrative value</x:v>
      </x:c>
    </x:row>
    <x:row r="70">
      <x:c r="A70" s="20" t="str">
        <x:v>2025-07</x:v>
      </x:c>
      <x:c r="B70" s="20" t="str">
        <x:v>Contractor delivery</x:v>
      </x:c>
      <x:c r="C70" s="20" t="str">
        <x:v>COGS</x:v>
      </x:c>
      <x:c r="D70" s="18" t="n">
        <x:v>275100</x:v>
      </x:c>
      <x:c r="E70" s="22" t="str">
        <x:v>Fictional illustrative value</x:v>
      </x:c>
    </x:row>
    <x:row r="71">
      <x:c r="A71" s="20" t="str">
        <x:v>2025-07</x:v>
      </x:c>
      <x:c r="B71" s="20" t="str">
        <x:v>Cloud and delivery</x:v>
      </x:c>
      <x:c r="C71" s="20" t="str">
        <x:v>COGS</x:v>
      </x:c>
      <x:c r="D71" s="18" t="n">
        <x:v>164000</x:v>
      </x:c>
      <x:c r="E71" s="22" t="str">
        <x:v>Fictional illustrative value</x:v>
      </x:c>
    </x:row>
    <x:row r="72">
      <x:c r="A72" s="20" t="str">
        <x:v>2025-07</x:v>
      </x:c>
      <x:c r="B72" s="20" t="str">
        <x:v>Payroll</x:v>
      </x:c>
      <x:c r="C72" s="20" t="str">
        <x:v>Opex</x:v>
      </x:c>
      <x:c r="D72" s="18" t="n">
        <x:v>306900</x:v>
      </x:c>
      <x:c r="E72" s="22" t="str">
        <x:v>Fictional illustrative value</x:v>
      </x:c>
    </x:row>
    <x:row r="73">
      <x:c r="A73" s="20" t="str">
        <x:v>2025-07</x:v>
      </x:c>
      <x:c r="B73" s="20" t="str">
        <x:v>Rent and utilities</x:v>
      </x:c>
      <x:c r="C73" s="20" t="str">
        <x:v>Opex</x:v>
      </x:c>
      <x:c r="D73" s="18" t="n">
        <x:v>53000</x:v>
      </x:c>
      <x:c r="E73" s="22" t="str">
        <x:v>Fictional illustrative value</x:v>
      </x:c>
    </x:row>
    <x:row r="74">
      <x:c r="A74" s="20" t="str">
        <x:v>2025-07</x:v>
      </x:c>
      <x:c r="B74" s="20" t="str">
        <x:v>Sales and marketing</x:v>
      </x:c>
      <x:c r="C74" s="20" t="str">
        <x:v>Opex</x:v>
      </x:c>
      <x:c r="D74" s="18" t="n">
        <x:v>53300</x:v>
      </x:c>
      <x:c r="E74" s="22" t="str">
        <x:v>Fictional illustrative value</x:v>
      </x:c>
    </x:row>
    <x:row r="75">
      <x:c r="A75" s="20" t="str">
        <x:v>2025-07</x:v>
      </x:c>
      <x:c r="B75" s="20" t="str">
        <x:v>Internal software</x:v>
      </x:c>
      <x:c r="C75" s="20" t="str">
        <x:v>Opex</x:v>
      </x:c>
      <x:c r="D75" s="18" t="n">
        <x:v>38600</x:v>
      </x:c>
      <x:c r="E75" s="22" t="str">
        <x:v>Fictional illustrative value</x:v>
      </x:c>
    </x:row>
    <x:row r="76">
      <x:c r="A76" s="20" t="str">
        <x:v>2025-07</x:v>
      </x:c>
      <x:c r="B76" s="20" t="str">
        <x:v>Admin and travel</x:v>
      </x:c>
      <x:c r="C76" s="20" t="str">
        <x:v>Opex</x:v>
      </x:c>
      <x:c r="D76" s="18" t="n">
        <x:v>32500</x:v>
      </x:c>
      <x:c r="E76" s="22" t="str">
        <x:v>Fictional illustrative value</x:v>
      </x:c>
    </x:row>
    <x:row r="77">
      <x:c r="A77" s="20" t="str">
        <x:v>2025-08</x:v>
      </x:c>
      <x:c r="B77" s="20" t="str">
        <x:v>Software implementation</x:v>
      </x:c>
      <x:c r="C77" s="20" t="str">
        <x:v>Revenue</x:v>
      </x:c>
      <x:c r="D77" s="18" t="n">
        <x:v>708100</x:v>
      </x:c>
      <x:c r="E77" s="22" t="str">
        <x:v>Fictional illustrative value</x:v>
      </x:c>
    </x:row>
    <x:row r="78">
      <x:c r="A78" s="20" t="str">
        <x:v>2025-08</x:v>
      </x:c>
      <x:c r="B78" s="20" t="str">
        <x:v>Recurring support</x:v>
      </x:c>
      <x:c r="C78" s="20" t="str">
        <x:v>Revenue</x:v>
      </x:c>
      <x:c r="D78" s="18" t="n">
        <x:v>429200</x:v>
      </x:c>
      <x:c r="E78" s="22" t="str">
        <x:v>Fictional illustrative value</x:v>
      </x:c>
    </x:row>
    <x:row r="79">
      <x:c r="A79" s="20" t="str">
        <x:v>2025-08</x:v>
      </x:c>
      <x:c r="B79" s="20" t="str">
        <x:v>Consulting projects</x:v>
      </x:c>
      <x:c r="C79" s="20" t="str">
        <x:v>Revenue</x:v>
      </x:c>
      <x:c r="D79" s="18" t="n">
        <x:v>340900</x:v>
      </x:c>
      <x:c r="E79" s="22" t="str">
        <x:v>Fictional illustrative value</x:v>
      </x:c>
    </x:row>
    <x:row r="80">
      <x:c r="A80" s="20" t="str">
        <x:v>2025-08</x:v>
      </x:c>
      <x:c r="B80" s="20" t="str">
        <x:v>Contractor delivery</x:v>
      </x:c>
      <x:c r="C80" s="20" t="str">
        <x:v>COGS</x:v>
      </x:c>
      <x:c r="D80" s="18" t="n">
        <x:v>284700</x:v>
      </x:c>
      <x:c r="E80" s="22" t="str">
        <x:v>Fictional illustrative value</x:v>
      </x:c>
    </x:row>
    <x:row r="81">
      <x:c r="A81" s="20" t="str">
        <x:v>2025-08</x:v>
      </x:c>
      <x:c r="B81" s="20" t="str">
        <x:v>Cloud and delivery</x:v>
      </x:c>
      <x:c r="C81" s="20" t="str">
        <x:v>COGS</x:v>
      </x:c>
      <x:c r="D81" s="18" t="n">
        <x:v>170200</x:v>
      </x:c>
      <x:c r="E81" s="22" t="str">
        <x:v>Fictional illustrative value</x:v>
      </x:c>
    </x:row>
    <x:row r="82">
      <x:c r="A82" s="20" t="str">
        <x:v>2025-08</x:v>
      </x:c>
      <x:c r="B82" s="20" t="str">
        <x:v>Payroll</x:v>
      </x:c>
      <x:c r="C82" s="20" t="str">
        <x:v>Opex</x:v>
      </x:c>
      <x:c r="D82" s="18" t="n">
        <x:v>319200</x:v>
      </x:c>
      <x:c r="E82" s="22" t="str">
        <x:v>Fictional illustrative value</x:v>
      </x:c>
    </x:row>
    <x:row r="83">
      <x:c r="A83" s="20" t="str">
        <x:v>2025-08</x:v>
      </x:c>
      <x:c r="B83" s="20" t="str">
        <x:v>Rent and utilities</x:v>
      </x:c>
      <x:c r="C83" s="20" t="str">
        <x:v>Opex</x:v>
      </x:c>
      <x:c r="D83" s="18" t="n">
        <x:v>55200</x:v>
      </x:c>
      <x:c r="E83" s="22" t="str">
        <x:v>Fictional illustrative value</x:v>
      </x:c>
    </x:row>
    <x:row r="84">
      <x:c r="A84" s="20" t="str">
        <x:v>2025-08</x:v>
      </x:c>
      <x:c r="B84" s="20" t="str">
        <x:v>Sales and marketing</x:v>
      </x:c>
      <x:c r="C84" s="20" t="str">
        <x:v>Opex</x:v>
      </x:c>
      <x:c r="D84" s="18" t="n">
        <x:v>55500</x:v>
      </x:c>
      <x:c r="E84" s="22" t="str">
        <x:v>Fictional illustrative value</x:v>
      </x:c>
    </x:row>
    <x:row r="85">
      <x:c r="A85" s="20" t="str">
        <x:v>2025-08</x:v>
      </x:c>
      <x:c r="B85" s="20" t="str">
        <x:v>Internal software</x:v>
      </x:c>
      <x:c r="C85" s="20" t="str">
        <x:v>Opex</x:v>
      </x:c>
      <x:c r="D85" s="18" t="n">
        <x:v>40100</x:v>
      </x:c>
      <x:c r="E85" s="22" t="str">
        <x:v>Fictional illustrative value</x:v>
      </x:c>
    </x:row>
    <x:row r="86">
      <x:c r="A86" s="20" t="str">
        <x:v>2025-08</x:v>
      </x:c>
      <x:c r="B86" s="20" t="str">
        <x:v>Admin and travel</x:v>
      </x:c>
      <x:c r="C86" s="20" t="str">
        <x:v>Opex</x:v>
      </x:c>
      <x:c r="D86" s="18" t="n">
        <x:v>33700</x:v>
      </x:c>
      <x:c r="E86" s="22" t="str">
        <x:v>Fictional illustrative value</x:v>
      </x:c>
    </x:row>
    <x:row r="87">
      <x:c r="A87" s="20" t="str">
        <x:v>2025-09</x:v>
      </x:c>
      <x:c r="B87" s="20" t="str">
        <x:v>Software implementation</x:v>
      </x:c>
      <x:c r="C87" s="20" t="str">
        <x:v>Revenue</x:v>
      </x:c>
      <x:c r="D87" s="18" t="n">
        <x:v>728900</x:v>
      </x:c>
      <x:c r="E87" s="22" t="str">
        <x:v>Fictional illustrative value</x:v>
      </x:c>
    </x:row>
    <x:row r="88">
      <x:c r="A88" s="20" t="str">
        <x:v>2025-09</x:v>
      </x:c>
      <x:c r="B88" s="20" t="str">
        <x:v>Recurring support</x:v>
      </x:c>
      <x:c r="C88" s="20" t="str">
        <x:v>Revenue</x:v>
      </x:c>
      <x:c r="D88" s="18" t="n">
        <x:v>443200</x:v>
      </x:c>
      <x:c r="E88" s="22" t="str">
        <x:v>Fictional illustrative value</x:v>
      </x:c>
    </x:row>
    <x:row r="89">
      <x:c r="A89" s="20" t="str">
        <x:v>2025-09</x:v>
      </x:c>
      <x:c r="B89" s="20" t="str">
        <x:v>Consulting projects</x:v>
      </x:c>
      <x:c r="C89" s="20" t="str">
        <x:v>Revenue</x:v>
      </x:c>
      <x:c r="D89" s="18" t="n">
        <x:v>353100</x:v>
      </x:c>
      <x:c r="E89" s="22" t="str">
        <x:v>Fictional illustrative value</x:v>
      </x:c>
    </x:row>
    <x:row r="90">
      <x:c r="A90" s="20" t="str">
        <x:v>2025-09</x:v>
      </x:c>
      <x:c r="B90" s="20" t="str">
        <x:v>Contractor delivery</x:v>
      </x:c>
      <x:c r="C90" s="20" t="str">
        <x:v>COGS</x:v>
      </x:c>
      <x:c r="D90" s="18" t="n">
        <x:v>295600</x:v>
      </x:c>
      <x:c r="E90" s="22" t="str">
        <x:v>Fictional illustrative value</x:v>
      </x:c>
    </x:row>
    <x:row r="91">
      <x:c r="A91" s="20" t="str">
        <x:v>2025-09</x:v>
      </x:c>
      <x:c r="B91" s="20" t="str">
        <x:v>Cloud and delivery</x:v>
      </x:c>
      <x:c r="C91" s="20" t="str">
        <x:v>COGS</x:v>
      </x:c>
      <x:c r="D91" s="18" t="n">
        <x:v>177000</x:v>
      </x:c>
      <x:c r="E91" s="22" t="str">
        <x:v>Fictional illustrative value</x:v>
      </x:c>
    </x:row>
    <x:row r="92">
      <x:c r="A92" s="20" t="str">
        <x:v>2025-09</x:v>
      </x:c>
      <x:c r="B92" s="20" t="str">
        <x:v>Payroll</x:v>
      </x:c>
      <x:c r="C92" s="20" t="str">
        <x:v>Opex</x:v>
      </x:c>
      <x:c r="D92" s="18" t="n">
        <x:v>331900</x:v>
      </x:c>
      <x:c r="E92" s="22" t="str">
        <x:v>Fictional illustrative value</x:v>
      </x:c>
    </x:row>
    <x:row r="93">
      <x:c r="A93" s="20" t="str">
        <x:v>2025-09</x:v>
      </x:c>
      <x:c r="B93" s="20" t="str">
        <x:v>Rent and utilities</x:v>
      </x:c>
      <x:c r="C93" s="20" t="str">
        <x:v>Opex</x:v>
      </x:c>
      <x:c r="D93" s="18" t="n">
        <x:v>57300</x:v>
      </x:c>
      <x:c r="E93" s="22" t="str">
        <x:v>Fictional illustrative value</x:v>
      </x:c>
    </x:row>
    <x:row r="94">
      <x:c r="A94" s="20" t="str">
        <x:v>2025-09</x:v>
      </x:c>
      <x:c r="B94" s="20" t="str">
        <x:v>Sales and marketing</x:v>
      </x:c>
      <x:c r="C94" s="20" t="str">
        <x:v>Opex</x:v>
      </x:c>
      <x:c r="D94" s="18" t="n">
        <x:v>57500</x:v>
      </x:c>
      <x:c r="E94" s="22" t="str">
        <x:v>Fictional illustrative value</x:v>
      </x:c>
    </x:row>
    <x:row r="95">
      <x:c r="A95" s="20" t="str">
        <x:v>2025-09</x:v>
      </x:c>
      <x:c r="B95" s="20" t="str">
        <x:v>Internal software</x:v>
      </x:c>
      <x:c r="C95" s="20" t="str">
        <x:v>Opex</x:v>
      </x:c>
      <x:c r="D95" s="18" t="n">
        <x:v>41500</x:v>
      </x:c>
      <x:c r="E95" s="22" t="str">
        <x:v>Fictional illustrative value</x:v>
      </x:c>
    </x:row>
    <x:row r="96">
      <x:c r="A96" s="20" t="str">
        <x:v>2025-09</x:v>
      </x:c>
      <x:c r="B96" s="20" t="str">
        <x:v>Admin and travel</x:v>
      </x:c>
      <x:c r="C96" s="20" t="str">
        <x:v>Opex</x:v>
      </x:c>
      <x:c r="D96" s="18" t="n">
        <x:v>34800</x:v>
      </x:c>
      <x:c r="E96" s="22" t="str">
        <x:v>Fictional illustrative value</x:v>
      </x:c>
    </x:row>
    <x:row r="97">
      <x:c r="A97" s="20" t="str">
        <x:v>2025-10</x:v>
      </x:c>
      <x:c r="B97" s="20" t="str">
        <x:v>Software implementation</x:v>
      </x:c>
      <x:c r="C97" s="20" t="str">
        <x:v>Revenue</x:v>
      </x:c>
      <x:c r="D97" s="18" t="n">
        <x:v>753400</x:v>
      </x:c>
      <x:c r="E97" s="22" t="str">
        <x:v>Fictional illustrative value</x:v>
      </x:c>
    </x:row>
    <x:row r="98">
      <x:c r="A98" s="20" t="str">
        <x:v>2025-10</x:v>
      </x:c>
      <x:c r="B98" s="20" t="str">
        <x:v>Recurring support</x:v>
      </x:c>
      <x:c r="C98" s="20" t="str">
        <x:v>Revenue</x:v>
      </x:c>
      <x:c r="D98" s="18" t="n">
        <x:v>459300</x:v>
      </x:c>
      <x:c r="E98" s="22" t="str">
        <x:v>Fictional illustrative value</x:v>
      </x:c>
    </x:row>
    <x:row r="99">
      <x:c r="A99" s="20" t="str">
        <x:v>2025-10</x:v>
      </x:c>
      <x:c r="B99" s="20" t="str">
        <x:v>Consulting projects</x:v>
      </x:c>
      <x:c r="C99" s="20" t="str">
        <x:v>Revenue</x:v>
      </x:c>
      <x:c r="D99" s="18" t="n">
        <x:v>366600</x:v>
      </x:c>
      <x:c r="E99" s="22" t="str">
        <x:v>Fictional illustrative value</x:v>
      </x:c>
    </x:row>
    <x:row r="100">
      <x:c r="A100" s="20" t="str">
        <x:v>2025-10</x:v>
      </x:c>
      <x:c r="B100" s="20" t="str">
        <x:v>Contractor delivery</x:v>
      </x:c>
      <x:c r="C100" s="20" t="str">
        <x:v>COGS</x:v>
      </x:c>
      <x:c r="D100" s="18" t="n">
        <x:v>307100</x:v>
      </x:c>
      <x:c r="E100" s="22" t="str">
        <x:v>Fictional illustrative value</x:v>
      </x:c>
    </x:row>
    <x:row r="101">
      <x:c r="A101" s="20" t="str">
        <x:v>2025-10</x:v>
      </x:c>
      <x:c r="B101" s="20" t="str">
        <x:v>Cloud and delivery</x:v>
      </x:c>
      <x:c r="C101" s="20" t="str">
        <x:v>COGS</x:v>
      </x:c>
      <x:c r="D101" s="18" t="n">
        <x:v>183800</x:v>
      </x:c>
      <x:c r="E101" s="22" t="str">
        <x:v>Fictional illustrative value</x:v>
      </x:c>
    </x:row>
    <x:row r="102">
      <x:c r="A102" s="20" t="str">
        <x:v>2025-10</x:v>
      </x:c>
      <x:c r="B102" s="20" t="str">
        <x:v>Payroll</x:v>
      </x:c>
      <x:c r="C102" s="20" t="str">
        <x:v>Opex</x:v>
      </x:c>
      <x:c r="D102" s="18" t="n">
        <x:v>344000</x:v>
      </x:c>
      <x:c r="E102" s="22" t="str">
        <x:v>Fictional illustrative value</x:v>
      </x:c>
    </x:row>
    <x:row r="103">
      <x:c r="A103" s="20" t="str">
        <x:v>2025-10</x:v>
      </x:c>
      <x:c r="B103" s="20" t="str">
        <x:v>Rent and utilities</x:v>
      </x:c>
      <x:c r="C103" s="20" t="str">
        <x:v>Opex</x:v>
      </x:c>
      <x:c r="D103" s="18" t="n">
        <x:v>59300</x:v>
      </x:c>
      <x:c r="E103" s="22" t="str">
        <x:v>Fictional illustrative value</x:v>
      </x:c>
    </x:row>
    <x:row r="104">
      <x:c r="A104" s="20" t="str">
        <x:v>2025-10</x:v>
      </x:c>
      <x:c r="B104" s="20" t="str">
        <x:v>Sales and marketing</x:v>
      </x:c>
      <x:c r="C104" s="20" t="str">
        <x:v>Opex</x:v>
      </x:c>
      <x:c r="D104" s="18" t="n">
        <x:v>59300</x:v>
      </x:c>
      <x:c r="E104" s="22" t="str">
        <x:v>Fictional illustrative value</x:v>
      </x:c>
    </x:row>
    <x:row r="105">
      <x:c r="A105" s="20" t="str">
        <x:v>2025-10</x:v>
      </x:c>
      <x:c r="B105" s="20" t="str">
        <x:v>Internal software</x:v>
      </x:c>
      <x:c r="C105" s="20" t="str">
        <x:v>Opex</x:v>
      </x:c>
      <x:c r="D105" s="18" t="n">
        <x:v>42700</x:v>
      </x:c>
      <x:c r="E105" s="22" t="str">
        <x:v>Fictional illustrative value</x:v>
      </x:c>
    </x:row>
    <x:row r="106">
      <x:c r="A106" s="20" t="str">
        <x:v>2025-10</x:v>
      </x:c>
      <x:c r="B106" s="20" t="str">
        <x:v>Admin and travel</x:v>
      </x:c>
      <x:c r="C106" s="20" t="str">
        <x:v>Opex</x:v>
      </x:c>
      <x:c r="D106" s="18" t="n">
        <x:v>35600</x:v>
      </x:c>
      <x:c r="E106" s="22" t="str">
        <x:v>Fictional illustrative value</x:v>
      </x:c>
    </x:row>
    <x:row r="107">
      <x:c r="A107" s="20" t="str">
        <x:v>2025-11</x:v>
      </x:c>
      <x:c r="B107" s="20" t="str">
        <x:v>Software implementation</x:v>
      </x:c>
      <x:c r="C107" s="20" t="str">
        <x:v>Revenue</x:v>
      </x:c>
      <x:c r="D107" s="18" t="n">
        <x:v>780900</x:v>
      </x:c>
      <x:c r="E107" s="22" t="str">
        <x:v>Fictional illustrative value</x:v>
      </x:c>
    </x:row>
    <x:row r="108">
      <x:c r="A108" s="20" t="str">
        <x:v>2025-11</x:v>
      </x:c>
      <x:c r="B108" s="20" t="str">
        <x:v>Recurring support</x:v>
      </x:c>
      <x:c r="C108" s="20" t="str">
        <x:v>Revenue</x:v>
      </x:c>
      <x:c r="D108" s="18" t="n">
        <x:v>476600</x:v>
      </x:c>
      <x:c r="E108" s="22" t="str">
        <x:v>Fictional illustrative value</x:v>
      </x:c>
    </x:row>
    <x:row r="109">
      <x:c r="A109" s="20" t="str">
        <x:v>2025-11</x:v>
      </x:c>
      <x:c r="B109" s="20" t="str">
        <x:v>Consulting projects</x:v>
      </x:c>
      <x:c r="C109" s="20" t="str">
        <x:v>Revenue</x:v>
      </x:c>
      <x:c r="D109" s="18" t="n">
        <x:v>380400</x:v>
      </x:c>
      <x:c r="E109" s="22" t="str">
        <x:v>Fictional illustrative value</x:v>
      </x:c>
    </x:row>
    <x:row r="110">
      <x:c r="A110" s="20" t="str">
        <x:v>2025-11</x:v>
      </x:c>
      <x:c r="B110" s="20" t="str">
        <x:v>Contractor delivery</x:v>
      </x:c>
      <x:c r="C110" s="20" t="str">
        <x:v>COGS</x:v>
      </x:c>
      <x:c r="D110" s="18" t="n">
        <x:v>318300</x:v>
      </x:c>
      <x:c r="E110" s="22" t="str">
        <x:v>Fictional illustrative value</x:v>
      </x:c>
    </x:row>
    <x:row r="111">
      <x:c r="A111" s="20" t="str">
        <x:v>2025-11</x:v>
      </x:c>
      <x:c r="B111" s="20" t="str">
        <x:v>Cloud and delivery</x:v>
      </x:c>
      <x:c r="C111" s="20" t="str">
        <x:v>COGS</x:v>
      </x:c>
      <x:c r="D111" s="18" t="n">
        <x:v>190100</x:v>
      </x:c>
      <x:c r="E111" s="22" t="str">
        <x:v>Fictional illustrative value</x:v>
      </x:c>
    </x:row>
    <x:row r="112">
      <x:c r="A112" s="20" t="str">
        <x:v>2025-11</x:v>
      </x:c>
      <x:c r="B112" s="20" t="str">
        <x:v>Payroll</x:v>
      </x:c>
      <x:c r="C112" s="20" t="str">
        <x:v>Opex</x:v>
      </x:c>
      <x:c r="D112" s="18" t="n">
        <x:v>354900</x:v>
      </x:c>
      <x:c r="E112" s="22" t="str">
        <x:v>Fictional illustrative value</x:v>
      </x:c>
    </x:row>
    <x:row r="113">
      <x:c r="A113" s="20" t="str">
        <x:v>2025-11</x:v>
      </x:c>
      <x:c r="B113" s="20" t="str">
        <x:v>Rent and utilities</x:v>
      </x:c>
      <x:c r="C113" s="20" t="str">
        <x:v>Opex</x:v>
      </x:c>
      <x:c r="D113" s="18" t="n">
        <x:v>61000</x:v>
      </x:c>
      <x:c r="E113" s="22" t="str">
        <x:v>Fictional illustrative value</x:v>
      </x:c>
    </x:row>
    <x:row r="114">
      <x:c r="A114" s="20" t="str">
        <x:v>2025-11</x:v>
      </x:c>
      <x:c r="B114" s="20" t="str">
        <x:v>Sales and marketing</x:v>
      </x:c>
      <x:c r="C114" s="20" t="str">
        <x:v>Opex</x:v>
      </x:c>
      <x:c r="D114" s="18" t="n">
        <x:v>60800</x:v>
      </x:c>
      <x:c r="E114" s="22" t="str">
        <x:v>Fictional illustrative value</x:v>
      </x:c>
    </x:row>
    <x:row r="115">
      <x:c r="A115" s="20" t="str">
        <x:v>2025-11</x:v>
      </x:c>
      <x:c r="B115" s="20" t="str">
        <x:v>Internal software</x:v>
      </x:c>
      <x:c r="C115" s="20" t="str">
        <x:v>Opex</x:v>
      </x:c>
      <x:c r="D115" s="18" t="n">
        <x:v>43600</x:v>
      </x:c>
      <x:c r="E115" s="22" t="str">
        <x:v>Fictional illustrative value</x:v>
      </x:c>
    </x:row>
    <x:row r="116">
      <x:c r="A116" s="20" t="str">
        <x:v>2025-11</x:v>
      </x:c>
      <x:c r="B116" s="20" t="str">
        <x:v>Admin and travel</x:v>
      </x:c>
      <x:c r="C116" s="20" t="str">
        <x:v>Opex</x:v>
      </x:c>
      <x:c r="D116" s="18" t="n">
        <x:v>36400</x:v>
      </x:c>
      <x:c r="E116" s="22" t="str">
        <x:v>Fictional illustrative value</x:v>
      </x:c>
    </x:row>
    <x:row r="117">
      <x:c r="A117" s="20" t="str">
        <x:v>2025-12</x:v>
      </x:c>
      <x:c r="B117" s="20" t="str">
        <x:v>Software implementation</x:v>
      </x:c>
      <x:c r="C117" s="20" t="str">
        <x:v>Revenue</x:v>
      </x:c>
      <x:c r="D117" s="18" t="n">
        <x:v>809900</x:v>
      </x:c>
      <x:c r="E117" s="22" t="str">
        <x:v>Fictional illustrative value</x:v>
      </x:c>
    </x:row>
    <x:row r="118">
      <x:c r="A118" s="20" t="str">
        <x:v>2025-12</x:v>
      </x:c>
      <x:c r="B118" s="20" t="str">
        <x:v>Recurring support</x:v>
      </x:c>
      <x:c r="C118" s="20" t="str">
        <x:v>Revenue</x:v>
      </x:c>
      <x:c r="D118" s="18" t="n">
        <x:v>494000</x:v>
      </x:c>
      <x:c r="E118" s="22" t="str">
        <x:v>Fictional illustrative value</x:v>
      </x:c>
    </x:row>
    <x:row r="119">
      <x:c r="A119" s="20" t="str">
        <x:v>2025-12</x:v>
      </x:c>
      <x:c r="B119" s="20" t="str">
        <x:v>Consulting projects</x:v>
      </x:c>
      <x:c r="C119" s="20" t="str">
        <x:v>Revenue</x:v>
      </x:c>
      <x:c r="D119" s="18" t="n">
        <x:v>393600</x:v>
      </x:c>
      <x:c r="E119" s="22" t="str">
        <x:v>Fictional illustrative value</x:v>
      </x:c>
    </x:row>
    <x:row r="120">
      <x:c r="A120" s="20" t="str">
        <x:v>2025-12</x:v>
      </x:c>
      <x:c r="B120" s="20" t="str">
        <x:v>Contractor delivery</x:v>
      </x:c>
      <x:c r="C120" s="20" t="str">
        <x:v>COGS</x:v>
      </x:c>
      <x:c r="D120" s="18" t="n">
        <x:v>328500</x:v>
      </x:c>
      <x:c r="E120" s="22" t="str">
        <x:v>Fictional illustrative value</x:v>
      </x:c>
    </x:row>
    <x:row r="121">
      <x:c r="A121" s="20" t="str">
        <x:v>2025-12</x:v>
      </x:c>
      <x:c r="B121" s="20" t="str">
        <x:v>Cloud and delivery</x:v>
      </x:c>
      <x:c r="C121" s="20" t="str">
        <x:v>COGS</x:v>
      </x:c>
      <x:c r="D121" s="18" t="n">
        <x:v>195600</x:v>
      </x:c>
      <x:c r="E121" s="22" t="str">
        <x:v>Fictional illustrative value</x:v>
      </x:c>
    </x:row>
    <x:row r="122">
      <x:c r="A122" s="20" t="str">
        <x:v>2025-12</x:v>
      </x:c>
      <x:c r="B122" s="20" t="str">
        <x:v>Payroll</x:v>
      </x:c>
      <x:c r="C122" s="20" t="str">
        <x:v>Opex</x:v>
      </x:c>
      <x:c r="D122" s="18" t="n">
        <x:v>364000</x:v>
      </x:c>
      <x:c r="E122" s="22" t="str">
        <x:v>Fictional illustrative value</x:v>
      </x:c>
    </x:row>
    <x:row r="123">
      <x:c r="A123" s="20" t="str">
        <x:v>2025-12</x:v>
      </x:c>
      <x:c r="B123" s="20" t="str">
        <x:v>Rent and utilities</x:v>
      </x:c>
      <x:c r="C123" s="20" t="str">
        <x:v>Opex</x:v>
      </x:c>
      <x:c r="D123" s="18" t="n">
        <x:v>62400</x:v>
      </x:c>
      <x:c r="E123" s="22" t="str">
        <x:v>Fictional illustrative value</x:v>
      </x:c>
    </x:row>
    <x:row r="124">
      <x:c r="A124" s="20" t="str">
        <x:v>2025-12</x:v>
      </x:c>
      <x:c r="B124" s="20" t="str">
        <x:v>Sales and marketing</x:v>
      </x:c>
      <x:c r="C124" s="20" t="str">
        <x:v>Opex</x:v>
      </x:c>
      <x:c r="D124" s="18" t="n">
        <x:v>62100</x:v>
      </x:c>
      <x:c r="E124" s="22" t="str">
        <x:v>Fictional illustrative value</x:v>
      </x:c>
    </x:row>
    <x:row r="125">
      <x:c r="A125" s="20" t="str">
        <x:v>2025-12</x:v>
      </x:c>
      <x:c r="B125" s="20" t="str">
        <x:v>Internal software</x:v>
      </x:c>
      <x:c r="C125" s="20" t="str">
        <x:v>Opex</x:v>
      </x:c>
      <x:c r="D125" s="18" t="n">
        <x:v>44500</x:v>
      </x:c>
      <x:c r="E125" s="22" t="str">
        <x:v>Fictional illustrative value</x:v>
      </x:c>
    </x:row>
    <x:row r="126">
      <x:c r="A126" s="20" t="str">
        <x:v>2025-12</x:v>
      </x:c>
      <x:c r="B126" s="20" t="str">
        <x:v>Admin and travel</x:v>
      </x:c>
      <x:c r="C126" s="20" t="str">
        <x:v>Opex</x:v>
      </x:c>
      <x:c r="D126" s="18" t="n">
        <x:v>37100</x:v>
      </x:c>
      <x:c r="E126" s="22" t="str">
        <x:v>Fictional illustrative value</x:v>
      </x:c>
    </x:row>
  </x:sheetData>
  <x:mergeCells>
    <x:mergeCell ref="A1:E2"/>
    <x:mergeCell ref="A3:E3"/>
  </x:mergeCells>
  <x:pageMargins left="0.7" right="0.7" top="0.75" bottom="0.75" header="0.3" footer="0.3"/>
  <x:tableParts count="1">
    <x:tablePart xmlns:r="http://schemas.openxmlformats.org/officeDocument/2006/relationships" r:id="Rbf1b75c349be4a6e"/>
  </x:tableParts>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6" hidden="0" customWidth="1"/>
    <x:col min="2" max="2" width="75" hidden="0" customWidth="1"/>
    <x:col min="3" max="3" width="13" hidden="0" customWidth="1"/>
    <x:col min="4" max="4" width="13" hidden="0" customWidth="1"/>
    <x:col min="5" max="5" width="13" hidden="0" customWidth="1"/>
    <x:col min="6" max="6" width="13" hidden="0" customWidth="1"/>
    <x:col min="7" max="7" width="13" hidden="0" customWidth="1"/>
  </x:cols>
  <x:sheetData>
    <x:row r="1" ht="26" customHeight="1">
      <x:c r="A1" s="4" t="str">
        <x:v>PROJECT 01  /  FINANCIAL PERFORMANCE DASHBOARD</x:v>
      </x:c>
      <x:c r="B1" s="4"/>
      <x:c r="C1" s="4"/>
      <x:c r="D1" s="4"/>
      <x:c r="E1" s="4"/>
      <x:c r="F1" s="4"/>
      <x:c r="G1" s="4"/>
    </x:row>
    <x:row r="2" ht="26" customHeight="1">
      <x:c r="A2" s="4"/>
      <x:c r="B2" s="4"/>
      <x:c r="C2" s="4"/>
      <x:c r="D2" s="4"/>
      <x:c r="E2" s="4"/>
      <x:c r="F2" s="4"/>
      <x:c r="G2" s="4"/>
    </x:row>
    <x:row r="3" ht="25" customHeight="1">
      <x:c r="A3" s="28" t="str">
        <x:v>Portfolio case study | Fictional Northstar Business Services | Financial year 2025 | Currency: Indian Rupees</x:v>
      </x:c>
      <x:c r="B3" s="28"/>
      <x:c r="C3" s="28"/>
      <x:c r="D3" s="28"/>
      <x:c r="E3" s="28"/>
      <x:c r="F3" s="28"/>
      <x:c r="G3" s="28"/>
    </x:row>
    <x:row r="5" ht="26" customHeight="1">
      <x:c r="A5" s="13" t="str">
        <x:v>ABOUT THE PROJECT</x:v>
      </x:c>
      <x:c r="B5" s="13"/>
      <x:c r="C5" s="13"/>
      <x:c r="D5" s="13"/>
      <x:c r="E5" s="13"/>
      <x:c r="F5" s="13"/>
      <x:c r="G5" s="13"/>
    </x:row>
    <x:row r="6">
      <x:c r="A6" s="93" t="str">
        <x:v>A reproducible demonstration of monthly management reporting, budget variance analysis, operating profitability and executive dashboard design. Actuals and plan inputs are synthetic. All reporting metrics are calculated from underlying monthly category records.</x:v>
      </x:c>
      <x:c r="B6" s="93"/>
      <x:c r="C6" s="93"/>
      <x:c r="D6" s="93"/>
      <x:c r="E6" s="93"/>
      <x:c r="F6" s="93"/>
      <x:c r="G6" s="93"/>
    </x:row>
    <x:row r="7">
      <x:c r="A7" s="93"/>
      <x:c r="B7" s="93"/>
      <x:c r="C7" s="93"/>
      <x:c r="D7" s="93"/>
      <x:c r="E7" s="93"/>
      <x:c r="F7" s="93"/>
      <x:c r="G7" s="93"/>
    </x:row>
    <x:row r="8">
      <x:c r="A8" s="93"/>
      <x:c r="B8" s="93"/>
      <x:c r="C8" s="93"/>
      <x:c r="D8" s="93"/>
      <x:c r="E8" s="93"/>
      <x:c r="F8" s="93"/>
      <x:c r="G8" s="93"/>
    </x:row>
    <x:row r="10" ht="26" customHeight="1">
      <x:c r="A10" s="13" t="str">
        <x:v>SHEET</x:v>
      </x:c>
      <x:c r="B10" s="13" t="str">
        <x:v>PURPOSE</x:v>
      </x:c>
    </x:row>
    <x:row r="11" ht="30" customHeight="1">
      <x:c r="A11" s="96" t="str">
        <x:v>Executive Dashboard</x:v>
      </x:c>
      <x:c r="B11" s="22" t="str">
        <x:v>Annual KPIs, monthly scorecard and Excel charts</x:v>
      </x:c>
    </x:row>
    <x:row r="12" ht="30" customHeight="1">
      <x:c r="A12" s="96" t="str">
        <x:v>Monthly P&amp;L</x:v>
      </x:c>
      <x:c r="B12" s="22" t="str">
        <x:v>Monthly revenue, direct costs, EBITDA and budget variance</x:v>
      </x:c>
    </x:row>
    <x:row r="13" ht="30" customHeight="1">
      <x:c r="A13" s="96" t="str">
        <x:v>Actual Data</x:v>
      </x:c>
      <x:c r="B13" s="22" t="str">
        <x:v>Editable fictional source ledger data; figures in blue</x:v>
      </x:c>
    </x:row>
    <x:row r="14" ht="30" customHeight="1">
      <x:c r="A14" s="96" t="str">
        <x:v>Budget Data</x:v>
      </x:c>
      <x:c r="B14" s="22" t="str">
        <x:v>Editable fictional budget values; figures in blue</x:v>
      </x:c>
    </x:row>
    <x:row r="15" ht="30" customHeight="1">
      <x:c r="A15" s="96" t="str">
        <x:v>Category Analysis</x:v>
      </x:c>
      <x:c r="B15" s="22" t="str">
        <x:v>Actual vs budget by account line; favorability analysis</x:v>
      </x:c>
    </x:row>
    <x:row r="17" ht="26" customHeight="1">
      <x:c r="A17" s="13" t="str">
        <x:v>METRIC DEFINITIONS</x:v>
      </x:c>
      <x:c r="B17" s="13"/>
      <x:c r="C17" s="13"/>
      <x:c r="D17" s="13"/>
      <x:c r="E17" s="13"/>
      <x:c r="F17" s="13"/>
      <x:c r="G17" s="13"/>
    </x:row>
    <x:row r="18" ht="30" customHeight="1">
      <x:c r="A18" s="96" t="str">
        <x:v>Revenue</x:v>
      </x:c>
      <x:c r="B18" s="22" t="str">
        <x:v>Sum of Software implementation, Recurring support and Consulting projects</x:v>
      </x:c>
    </x:row>
    <x:row r="19" ht="30" customHeight="1">
      <x:c r="A19" s="96" t="str">
        <x:v>COGS</x:v>
      </x:c>
      <x:c r="B19" s="22" t="str">
        <x:v>Cost of contractor delivery and cloud/delivery expense</x:v>
      </x:c>
    </x:row>
    <x:row r="20" ht="30" customHeight="1">
      <x:c r="A20" s="96" t="str">
        <x:v>Gross Profit</x:v>
      </x:c>
      <x:c r="B20" s="22" t="str">
        <x:v>Revenue minus COGS</x:v>
      </x:c>
    </x:row>
    <x:row r="21" ht="30" customHeight="1">
      <x:c r="A21" s="96" t="str">
        <x:v>EBITDA</x:v>
      </x:c>
      <x:c r="B21" s="22" t="str">
        <x:v>Gross profit minus operating expenses; excludes interest, income tax and D&amp;A</x:v>
      </x:c>
    </x:row>
    <x:row r="22" ht="30" customHeight="1">
      <x:c r="A22" s="96" t="str">
        <x:v>EBITDA Margin</x:v>
      </x:c>
      <x:c r="B22" s="22" t="str">
        <x:v>EBITDA divided by revenue</x:v>
      </x:c>
    </x:row>
    <x:row r="23" ht="30" customHeight="1">
      <x:c r="A23" s="96" t="str">
        <x:v>Variance</x:v>
      </x:c>
      <x:c r="B23" s="22" t="str">
        <x:v>Actual minus budget; negative profit variance is unfavorable</x:v>
      </x:c>
    </x:row>
    <x:row r="25" ht="26" customHeight="1">
      <x:c r="A25" s="41" t="str">
        <x:v>DATA ETHICS AND SOURCE</x:v>
      </x:c>
      <x:c r="B25" s="41"/>
      <x:c r="C25" s="41"/>
      <x:c r="D25" s="41"/>
      <x:c r="E25" s="41"/>
      <x:c r="F25" s="41"/>
      <x:c r="G25" s="41"/>
    </x:row>
    <x:row r="26">
      <x:c r="A26" s="99" t="str">
        <x:v>All input values were created for this illustrative finance-analytics portfolio project. Northstar Business Services is a fictional example company. This workbook is not derived from any employer's, customer's or public company's books and does not represent audited or actual results.</x:v>
      </x:c>
      <x:c r="B26" s="99"/>
      <x:c r="C26" s="99"/>
      <x:c r="D26" s="99"/>
      <x:c r="E26" s="99"/>
      <x:c r="F26" s="99"/>
      <x:c r="G26" s="99"/>
    </x:row>
    <x:row r="27">
      <x:c r="A27" s="99"/>
      <x:c r="B27" s="99"/>
      <x:c r="C27" s="99"/>
      <x:c r="D27" s="99"/>
      <x:c r="E27" s="99"/>
      <x:c r="F27" s="99"/>
      <x:c r="G27" s="99"/>
    </x:row>
    <x:row r="28">
      <x:c r="A28" s="99"/>
      <x:c r="B28" s="99"/>
      <x:c r="C28" s="99"/>
      <x:c r="D28" s="99"/>
      <x:c r="E28" s="99"/>
      <x:c r="F28" s="99"/>
      <x:c r="G28" s="99"/>
    </x:row>
  </x:sheetData>
  <x:mergeCells>
    <x:mergeCell ref="A1:G2"/>
    <x:mergeCell ref="A3:G3"/>
    <x:mergeCell ref="A5:G5"/>
    <x:mergeCell ref="A6:G8"/>
    <x:mergeCell ref="A17:G17"/>
    <x:mergeCell ref="A25:G25"/>
    <x:mergeCell ref="A26:G28"/>
  </x:mergeCells>
  <x:pageMargins left="0.7" right="0.7" top="0.75" bottom="0.75" header="0.3" footer="0.3"/>
</x:worksheet>
</file>

<file path=xl/worksheets/sheet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9" hidden="0" customWidth="1"/>
    <x:col min="2" max="2" width="15" hidden="0" customWidth="1"/>
    <x:col min="3" max="3" width="19" hidden="0" customWidth="1"/>
    <x:col min="4" max="4" width="19" hidden="0" customWidth="1"/>
    <x:col min="5" max="5" width="19" hidden="0" customWidth="1"/>
    <x:col min="6" max="6" width="19" hidden="0" customWidth="1"/>
    <x:col min="7" max="7" width="21" hidden="0" customWidth="1"/>
  </x:cols>
  <x:sheetData>
    <x:row r="1" ht="24" customHeight="1">
      <x:c r="A1" s="4" t="str">
        <x:v>COST &amp; REVENUE CATEGORY ANALYSIS</x:v>
      </x:c>
      <x:c r="B1" s="4"/>
      <x:c r="C1" s="4"/>
      <x:c r="D1" s="4"/>
      <x:c r="E1" s="4"/>
      <x:c r="F1" s="4"/>
      <x:c r="G1" s="4"/>
    </x:row>
    <x:row r="2" ht="24" customHeight="1">
      <x:c r="A2" s="4"/>
      <x:c r="B2" s="4"/>
      <x:c r="C2" s="4"/>
      <x:c r="D2" s="4"/>
      <x:c r="E2" s="4"/>
      <x:c r="F2" s="4"/>
      <x:c r="G2" s="4"/>
    </x:row>
    <x:row r="3" ht="22" customHeight="1">
      <x:c r="A3" s="28" t="str">
        <x:v>Synthetic FY2025 data | Positive variance is favorable for revenue, negative variance is favorable for costs</x:v>
      </x:c>
      <x:c r="B3" s="28"/>
      <x:c r="C3" s="28"/>
      <x:c r="D3" s="28"/>
      <x:c r="E3" s="28"/>
      <x:c r="F3" s="28"/>
      <x:c r="G3" s="28"/>
    </x:row>
    <x:row r="6" ht="28" customHeight="1">
      <x:c r="A6" s="13" t="str">
        <x:v>Category</x:v>
      </x:c>
      <x:c r="B6" s="13" t="str">
        <x:v>P&amp;L group</x:v>
      </x:c>
      <x:c r="C6" s="13" t="str">
        <x:v>Actual (₹)</x:v>
      </x:c>
      <x:c r="D6" s="13" t="str">
        <x:v>Budget (₹)</x:v>
      </x:c>
      <x:c r="E6" s="13" t="str">
        <x:v>Actual - plan (₹)</x:v>
      </x:c>
      <x:c r="F6" s="13" t="str">
        <x:v>Variance %</x:v>
      </x:c>
      <x:c r="G6" s="13" t="str">
        <x:v>Performance</x:v>
      </x:c>
    </x:row>
    <x:row r="7">
      <x:c r="A7" t="str">
        <x:v>Software implementation</x:v>
      </x:c>
      <x:c r="B7" t="str">
        <x:v>Revenue</x:v>
      </x:c>
      <x:c r="C7" s="16" t="n">
        <x:f>SUMIFS('Actual Data'!$D$7:$D$126,'Actual Data'!$B$7:$B$126,A7)</x:f>
        <x:v>8358500</x:v>
      </x:c>
      <x:c r="D7" s="16" t="n">
        <x:f>SUMIFS('Budget Data'!$D$7:$D$126,'Budget Data'!$B$7:$B$126,A7)</x:f>
        <x:v>8195800</x:v>
      </x:c>
      <x:c r="E7" s="16" t="n">
        <x:f>C7-D7</x:f>
        <x:v>162700</x:v>
      </x:c>
      <x:c r="F7" s="36" t="n">
        <x:f>IFERROR(E7/D7,0)</x:f>
        <x:v>0.019851631323360746</x:v>
      </x:c>
      <x:c r="G7" t="str">
        <x:f>IF(OR(AND(B7="Revenue",E7&gt;=0),AND(B7&lt;&gt;"Revenue",E7&lt;=0)),"Favorable","Unfavorable")</x:f>
        <x:v>Favorable</x:v>
      </x:c>
    </x:row>
    <x:row r="8">
      <x:c r="A8" t="str">
        <x:v>Recurring support</x:v>
      </x:c>
      <x:c r="B8" t="str">
        <x:v>Revenue</x:v>
      </x:c>
      <x:c r="C8" s="16" t="n">
        <x:f>SUMIFS('Actual Data'!$D$7:$D$126,'Actual Data'!$B$7:$B$126,A8)</x:f>
        <x:v>5049300</x:v>
      </x:c>
      <x:c r="D8" s="16" t="n">
        <x:f>SUMIFS('Budget Data'!$D$7:$D$126,'Budget Data'!$B$7:$B$126,A8)</x:f>
        <x:v>4979600</x:v>
      </x:c>
      <x:c r="E8" s="16" t="n">
        <x:f>C8-D8</x:f>
        <x:v>69700</x:v>
      </x:c>
      <x:c r="F8" s="36" t="n">
        <x:f>IFERROR(E8/D8,0)</x:f>
        <x:v>0.013997108201461965</x:v>
      </x:c>
      <x:c r="G8" t="str">
        <x:f>IF(OR(AND(B8="Revenue",E8&gt;=0),AND(B8&lt;&gt;"Revenue",E8&lt;=0)),"Favorable","Unfavorable")</x:f>
        <x:v>Favorable</x:v>
      </x:c>
    </x:row>
    <x:row r="9">
      <x:c r="A9" t="str">
        <x:v>Consulting projects</x:v>
      </x:c>
      <x:c r="B9" t="str">
        <x:v>Revenue</x:v>
      </x:c>
      <x:c r="C9" s="16" t="n">
        <x:f>SUMIFS('Actual Data'!$D$7:$D$126,'Actual Data'!$B$7:$B$126,A9)</x:f>
        <x:v>3988700</x:v>
      </x:c>
      <x:c r="D9" s="16" t="n">
        <x:f>SUMIFS('Budget Data'!$D$7:$D$126,'Budget Data'!$B$7:$B$126,A9)</x:f>
        <x:v>3956800</x:v>
      </x:c>
      <x:c r="E9" s="16" t="n">
        <x:f>C9-D9</x:f>
        <x:v>31900</x:v>
      </x:c>
      <x:c r="F9" s="36" t="n">
        <x:f>IFERROR(E9/D9,0)</x:f>
        <x:v>0.008062070359886778</x:v>
      </x:c>
      <x:c r="G9" t="str">
        <x:f>IF(OR(AND(B9="Revenue",E9&gt;=0),AND(B9&lt;&gt;"Revenue",E9&lt;=0)),"Favorable","Unfavorable")</x:f>
        <x:v>Favorable</x:v>
      </x:c>
    </x:row>
    <x:row r="10">
      <x:c r="A10" t="str">
        <x:v>Contractor delivery</x:v>
      </x:c>
      <x:c r="B10" t="str">
        <x:v>COGS</x:v>
      </x:c>
      <x:c r="C10" s="16" t="n">
        <x:f>SUMIFS('Actual Data'!$D$7:$D$126,'Actual Data'!$B$7:$B$126,A10)</x:f>
        <x:v>3308600</x:v>
      </x:c>
      <x:c r="D10" s="16" t="n">
        <x:f>SUMIFS('Budget Data'!$D$7:$D$126,'Budget Data'!$B$7:$B$126,A10)</x:f>
        <x:v>3298900</x:v>
      </x:c>
      <x:c r="E10" s="16" t="n">
        <x:f>C10-D10</x:f>
        <x:v>9700</x:v>
      </x:c>
      <x:c r="F10" s="36" t="n">
        <x:f>IFERROR(E10/D10,0)</x:f>
        <x:v>0.0029403740640819667</x:v>
      </x:c>
      <x:c r="G10" t="str">
        <x:f>IF(OR(AND(B10="Revenue",E10&gt;=0),AND(B10&lt;&gt;"Revenue",E10&lt;=0)),"Favorable","Unfavorable")</x:f>
        <x:v>Unfavorable</x:v>
      </x:c>
    </x:row>
    <x:row r="11">
      <x:c r="A11" t="str">
        <x:v>Cloud and delivery</x:v>
      </x:c>
      <x:c r="B11" t="str">
        <x:v>COGS</x:v>
      </x:c>
      <x:c r="C11" s="16" t="n">
        <x:f>SUMIFS('Actual Data'!$D$7:$D$126,'Actual Data'!$B$7:$B$126,A11)</x:f>
        <x:v>1964700</x:v>
      </x:c>
      <x:c r="D11" s="16" t="n">
        <x:f>SUMIFS('Budget Data'!$D$7:$D$126,'Budget Data'!$B$7:$B$126,A11)</x:f>
        <x:v>1965300</x:v>
      </x:c>
      <x:c r="E11" s="16" t="n">
        <x:f>C11-D11</x:f>
        <x:v>-600</x:v>
      </x:c>
      <x:c r="F11" s="36" t="n">
        <x:f>IFERROR(E11/D11,0)</x:f>
        <x:v>-0.0003052969012364525</x:v>
      </x:c>
      <x:c r="G11" t="str">
        <x:f>IF(OR(AND(B11="Revenue",E11&gt;=0),AND(B11&lt;&gt;"Revenue",E11&lt;=0)),"Favorable","Unfavorable")</x:f>
        <x:v>Favorable</x:v>
      </x:c>
    </x:row>
    <x:row r="12">
      <x:c r="A12" t="str">
        <x:v>Payroll</x:v>
      </x:c>
      <x:c r="B12" t="str">
        <x:v>Opex</x:v>
      </x:c>
      <x:c r="C12" s="16" t="n">
        <x:f>SUMIFS('Actual Data'!$D$7:$D$126,'Actual Data'!$B$7:$B$126,A12)</x:f>
        <x:v>3662900</x:v>
      </x:c>
      <x:c r="D12" s="16" t="n">
        <x:f>SUMIFS('Budget Data'!$D$7:$D$126,'Budget Data'!$B$7:$B$126,A12)</x:f>
        <x:v>3666700</x:v>
      </x:c>
      <x:c r="E12" s="16" t="n">
        <x:f>C12-D12</x:f>
        <x:v>-3800</x:v>
      </x:c>
      <x:c r="F12" s="36" t="n">
        <x:f>IFERROR(E12/D12,0)</x:f>
        <x:v>-0.001036354214961682</x:v>
      </x:c>
      <x:c r="G12" t="str">
        <x:f>IF(OR(AND(B12="Revenue",E12&gt;=0),AND(B12&lt;&gt;"Revenue",E12&lt;=0)),"Favorable","Unfavorable")</x:f>
        <x:v>Favorable</x:v>
      </x:c>
    </x:row>
    <x:row r="13">
      <x:c r="A13" t="str">
        <x:v>Rent and utilities</x:v>
      </x:c>
      <x:c r="B13" t="str">
        <x:v>Opex</x:v>
      </x:c>
      <x:c r="C13" s="16" t="n">
        <x:f>SUMIFS('Actual Data'!$D$7:$D$126,'Actual Data'!$B$7:$B$126,A13)</x:f>
        <x:v>631100</x:v>
      </x:c>
      <x:c r="D13" s="16" t="n">
        <x:f>SUMIFS('Budget Data'!$D$7:$D$126,'Budget Data'!$B$7:$B$126,A13)</x:f>
        <x:v>630600</x:v>
      </x:c>
      <x:c r="E13" s="16" t="n">
        <x:f>C13-D13</x:f>
        <x:v>500</x:v>
      </x:c>
      <x:c r="F13" s="36" t="n">
        <x:f>IFERROR(E13/D13,0)</x:f>
        <x:v>0.000792895654931811</x:v>
      </x:c>
      <x:c r="G13" t="str">
        <x:f>IF(OR(AND(B13="Revenue",E13&gt;=0),AND(B13&lt;&gt;"Revenue",E13&lt;=0)),"Favorable","Unfavorable")</x:f>
        <x:v>Unfavorable</x:v>
      </x:c>
    </x:row>
    <x:row r="14">
      <x:c r="A14" t="str">
        <x:v>Sales and marketing</x:v>
      </x:c>
      <x:c r="B14" t="str">
        <x:v>Opex</x:v>
      </x:c>
      <x:c r="C14" s="16" t="n">
        <x:f>SUMIFS('Actual Data'!$D$7:$D$126,'Actual Data'!$B$7:$B$126,A14)</x:f>
        <x:v>633500</x:v>
      </x:c>
      <x:c r="D14" s="16" t="n">
        <x:f>SUMIFS('Budget Data'!$D$7:$D$126,'Budget Data'!$B$7:$B$126,A14)</x:f>
        <x:v>630300</x:v>
      </x:c>
      <x:c r="E14" s="16" t="n">
        <x:f>C14-D14</x:f>
        <x:v>3200</x:v>
      </x:c>
      <x:c r="F14" s="36" t="n">
        <x:f>IFERROR(E14/D14,0)</x:f>
        <x:v>0.005076947485324449</x:v>
      </x:c>
      <x:c r="G14" t="str">
        <x:f>IF(OR(AND(B14="Revenue",E14&gt;=0),AND(B14&lt;&gt;"Revenue",E14&lt;=0)),"Favorable","Unfavorable")</x:f>
        <x:v>Unfavorable</x:v>
      </x:c>
    </x:row>
    <x:row r="15">
      <x:c r="A15" t="str">
        <x:v>Internal software</x:v>
      </x:c>
      <x:c r="B15" t="str">
        <x:v>Opex</x:v>
      </x:c>
      <x:c r="C15" s="16" t="n">
        <x:f>SUMIFS('Actual Data'!$D$7:$D$126,'Actual Data'!$B$7:$B$126,A15)</x:f>
        <x:v>459000</x:v>
      </x:c>
      <x:c r="D15" s="16" t="n">
        <x:f>SUMIFS('Budget Data'!$D$7:$D$126,'Budget Data'!$B$7:$B$126,A15)</x:f>
        <x:v>454000</x:v>
      </x:c>
      <x:c r="E15" s="16" t="n">
        <x:f>C15-D15</x:f>
        <x:v>5000</x:v>
      </x:c>
      <x:c r="F15" s="36" t="n">
        <x:f>IFERROR(E15/D15,0)</x:f>
        <x:v>0.011013215859030838</x:v>
      </x:c>
      <x:c r="G15" t="str">
        <x:f>IF(OR(AND(B15="Revenue",E15&gt;=0),AND(B15&lt;&gt;"Revenue",E15&lt;=0)),"Favorable","Unfavorable")</x:f>
        <x:v>Unfavorable</x:v>
      </x:c>
    </x:row>
    <x:row r="16">
      <x:c r="A16" t="str">
        <x:v>Admin and travel</x:v>
      </x:c>
      <x:c r="B16" t="str">
        <x:v>Opex</x:v>
      </x:c>
      <x:c r="C16" s="16" t="n">
        <x:f>SUMIFS('Actual Data'!$D$7:$D$126,'Actual Data'!$B$7:$B$126,A16)</x:f>
        <x:v>386900</x:v>
      </x:c>
      <x:c r="D16" s="16" t="n">
        <x:f>SUMIFS('Budget Data'!$D$7:$D$126,'Budget Data'!$B$7:$B$126,A16)</x:f>
        <x:v>380500</x:v>
      </x:c>
      <x:c r="E16" s="16" t="n">
        <x:f>C16-D16</x:f>
        <x:v>6400</x:v>
      </x:c>
      <x:c r="F16" s="36" t="n">
        <x:f>IFERROR(E16/D16,0)</x:f>
        <x:v>0.016819973718791063</x:v>
      </x:c>
      <x:c r="G16" t="str">
        <x:f>IF(OR(AND(B16="Revenue",E16&gt;=0),AND(B16&lt;&gt;"Revenue",E16&lt;=0)),"Favorable","Unfavorable")</x:f>
        <x:v>Unfavorable</x:v>
      </x:c>
    </x:row>
    <x:row r="19" ht="27" customHeight="1">
      <x:c r="A19" s="51" t="str">
        <x:v>Interpretation: Expense lines use sign-adjusted favorability. EBITDA is calculated as revenue minus COGS and operating expenses.</x:v>
      </x:c>
      <x:c r="B19" s="51"/>
      <x:c r="C19" s="51"/>
      <x:c r="D19" s="51"/>
      <x:c r="E19" s="51"/>
      <x:c r="F19" s="51"/>
      <x:c r="G19" s="51"/>
    </x:row>
  </x:sheetData>
  <x:mergeCells>
    <x:mergeCell ref="A1:G2"/>
    <x:mergeCell ref="A3:G3"/>
    <x:mergeCell ref="A19:G19"/>
  </x:mergeCells>
  <x:conditionalFormatting sqref="E7:E16">
    <x:cfRule type="dataBar" priority="1">
      <x:dataBar>
        <x:cfvo type="min"/>
        <x:cfvo type="max"/>
        <x:color rgb="FF087F74"/>
      </x:dataBar>
      <x:extLst>
        <x:ext xmlns:x14="http://schemas.microsoft.com/office/spreadsheetml/2009/9/main" uri="{B025F937-C7B1-47D3-B67F-A62EFF666E3E}">
          <x14:id>{A8ACA548-5322-9FA5-F6C6-7821284720F6}</x14:id>
        </x:ext>
      </x:extLst>
    </x:cfRule>
  </x:conditionalFormatting>
  <x:conditionalFormatting sqref="G7:G16">
    <x:cfRule type="expression" dxfId="2" priority="2">
      <x:formula>G7="Unfavorable"</x:formula>
    </x:cfRule>
    <x:cfRule type="expression" dxfId="3" priority="3">
      <x:formula>G7="Favorable"</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A8ACA548-5322-9FA5-F6C6-7821284720F6}">
            <x14:dataBar gradient="1">
              <x14:cfvo type="min"/>
              <x14:cfvo type="max"/>
              <x14:fillColor rgb="FF087F74"/>
            </x14:dataBar>
          </x14:cfRule>
          <xm:sqref>E7:E16</xm:sqref>
        </x14:conditionalFormatting>
      </x14:conditionalFormattings>
    </x:ext>
  </x:extLst>
</x:worksheet>
</file>